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s" sheetId="1" r:id="rId4"/>
    <sheet state="visible" name="결과" sheetId="2" r:id="rId5"/>
  </sheets>
  <definedNames>
    <definedName hidden="1" localSheetId="0" name="_xlnm._FilterDatabase">transcripts!$A$1:$N$148</definedName>
  </definedNames>
  <calcPr/>
  <pivotCaches>
    <pivotCache cacheId="0" r:id="rId6"/>
  </pivotCaches>
  <extLst>
    <ext uri="GoogleSheetsCustomDataVersion2">
      <go:sheetsCustomData xmlns:go="http://customooxmlschemas.google.com/" r:id="rId7" roundtripDataChecksum="HKQTh6kIIRbh8BzpMtf9LNpYRX6bXpojJGBIAGIfXnc="/>
    </ext>
  </extLst>
</workbook>
</file>

<file path=xl/sharedStrings.xml><?xml version="1.0" encoding="utf-8"?>
<sst xmlns="http://schemas.openxmlformats.org/spreadsheetml/2006/main" count="1001" uniqueCount="219">
  <si>
    <t>id</t>
  </si>
  <si>
    <t>interview_id</t>
  </si>
  <si>
    <t>speaker</t>
  </si>
  <si>
    <t>text</t>
  </si>
  <si>
    <t>timestamp</t>
  </si>
  <si>
    <t>sentiment_score</t>
  </si>
  <si>
    <t>emotion</t>
  </si>
  <si>
    <t>question_id</t>
  </si>
  <si>
    <t>order</t>
  </si>
  <si>
    <t>total_score</t>
  </si>
  <si>
    <t>rubric_score</t>
  </si>
  <si>
    <t>정확도</t>
  </si>
  <si>
    <t>stt</t>
  </si>
  <si>
    <t>점수계산</t>
  </si>
  <si>
    <t>AI</t>
  </si>
  <si>
    <t>반갑습니다. 우선 저희 삼성전자 DS부문 백엔드 개발 직무에 지원해 주셔서 감사합니다. 저는 오늘 면접을 진행할 면접관 BIG-VIEW 입니다. 나재민 지원자님, 면접을 시작하기 위해 먼저 간단히 자기소개 부탁드립니다.</t>
  </si>
  <si>
    <t>null</t>
  </si>
  <si>
    <t>성공</t>
  </si>
  <si>
    <t>N</t>
  </si>
  <si>
    <t>감사합니다. 이어서 지원하신 동기에 대해 들어보고 싶습니다. 나재민 지원자님, '백엔드 개발'에 지원하게 된 동기는 무엇입니까? 또한 전자공학을 전공하셨는데 어떤 계기로 백엔드 개발에 관심을 갖게 되셨나요?</t>
  </si>
  <si>
    <t>이력서를 보니 SQLD, ADSP 자격증을 취득하셨네요. 이 과정에서 습득한 지식과 기술이 무엇인지 구체적으로 말씀해 주세요.</t>
  </si>
  <si>
    <t>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t>
  </si>
  <si>
    <t>USER</t>
  </si>
  <si>
    <t>안녕하십니까 제 이름은 아대민 지원자입니다. 인터뷰에서 잘 보고 싶어서 지원하였습니다. 하나 둘 셋</t>
  </si>
  <si>
    <t>neutral</t>
  </si>
  <si>
    <t>{"평가영역": "자기 표현 &amp; 기본 커뮤니케이션", "항목별배점": {"논리적 구조": 40, "핵심 전달력": 40, "질문 의도 파악": 20}, "세부항목점수": {"논리적 구조": 20, "핵심 전달력": 20, "질문 의도 파악": 29}}</t>
  </si>
  <si>
    <t>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t>
  </si>
  <si>
    <t>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단축하였고 특히 체력에 분류할 때의 판자가 크게 들어오는 큰 효과를 개선했습니다.</t>
  </si>
  <si>
    <t>{"평가영역": "직무 지식 이해도", "항목별배점": {"논리성": 30, "용어 활용력": 20, "개념의 정확성": 50}, "세부항목점수": {"논리성": 40, "용어 활용력": 50, "개념의 정확성": 60}}</t>
  </si>
  <si>
    <t>백엔드 분야를 알아보다가 백엔드에 대해서 관심 갖게 되었습니다.</t>
  </si>
  <si>
    <t>{"평가영역": "지원 동기 &amp; 회사 적합성", "항목별배점": {"진정성": 30, "직무 이해도": 40, "내용의 구체성": 30}, "세부항목점수": {"진정성": 0, "직무 이해도": 40, "내용의 구체성": 15}}</t>
  </si>
  <si>
    <t>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t>
  </si>
  <si>
    <t>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계산을 빼게 될 개발자가 되겠습니다.</t>
  </si>
  <si>
    <t>{"평가영역": "직무 지식 이해도", "항목별배점": {"논리성": 30, "용어 활용력": 20, "개념의 정확성": 50}, "세부항목점수": {"논리성": 25, "용어 활용력": 30, "개념의 정확성": 40}}</t>
  </si>
  <si>
    <t>실패</t>
  </si>
  <si>
    <t>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API 서버를 분리하고 비동기 처리 교조를 도입해 면접 주문 생성과 평가 요청을 안정적으로 처리하도록 보냈습니다.</t>
  </si>
  <si>
    <t>{"평가영역": "직무 경험 &amp; 문제 해결", "항목별배점": {"문제 해결력": 40, "성과 구체성": 30, "STAR 구조 적합성": 30}, "세부항목점수": {"문제 해결력": 55, "성과 구체성": 60, "STAR 구조 적합성": 50}}</t>
  </si>
  <si>
    <t>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t>
  </si>
  <si>
    <t>그렇다면, 언급하신 '온프레미스 기반 AI 모의면접 플랫폼 백엔드 개발' 프로젝트를 진행하며 겪었던 기술적인 어려움이 있었나요.어떤 상황이었고, 그걸 어떻게 해결하셨는지 구체적으로 말씀해 주세요.</t>
  </si>
  <si>
    <t>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확인했습니다. 완벽하지 않았지만 다 지연이 어느 정도 완화되었습니다.</t>
  </si>
  <si>
    <t>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t>
  </si>
  <si>
    <t>팀 프로젝트에서 의견 차이가 발생했을 때, 어떻게 조화를 이루며 공동 목표 달성에 기여했는지 구체적인 사례를 들어 설명해 주세요.</t>
  </si>
  <si>
    <t>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본질의 IO 대기시간이 길어지는 게 있었기 때문에</t>
  </si>
  <si>
    <t>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구조를 설계했습니다. 그 결과 단순 점수 제공이 아니라 논리 전개 방법적인 구체적인 피드백을 제공할 수 있어서 피팅 프로젝트 평가에서도 기능 완성도</t>
  </si>
  <si>
    <t>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t>
  </si>
  <si>
    <t>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t>
  </si>
  <si>
    <t>자기소개서에서 "서비스의 완성도는 코드 한 줄이 아니라 구조 설계에서 결정된다"고 작성하셨습니다. 이 가치관을 바탕으로 새로운 분야에 도전하는 상황에서 개인적인 책임감과 기준은 무엇인가요?</t>
  </si>
  <si>
    <t>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t>
  </si>
  <si>
    <t>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t>
  </si>
  <si>
    <t>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있다고 생각합니다.</t>
  </si>
  <si>
    <t>어려움을 극복하며 팀과 함께 성장해온 경험에서, 어떤 마음가짐으로 변화와 새로운 도전에 임하고 있나요?</t>
  </si>
  <si>
    <t>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시너지를 낼 수 있습니다. 저는 어려움 속에서도 동료들과 열린 소통을 유지하며 함께 해결책을 찾아가는 과정을 중요하게 생각합니다. 이러한 마음가짓 덕분에 변화와 도전을 단순히 극복해야 할 정의물이 아니라 팀과 함께 더 높은 성과에 언뜻러가는 발판이 된다고 믿습니다.</t>
  </si>
  <si>
    <t>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t>
  </si>
  <si>
    <t>개수 : 질문생성/분석</t>
  </si>
  <si>
    <t>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역량을 정당하게 만들었습니다. 이런 상황에서 성장을 동료하는 방법을 저의 작은 기록을 선택하고 공유하는 습관을 통해 용기를 얻었습니다.</t>
  </si>
  <si>
    <t>나재민 지원자님, 마지막으로 하고 싶으신 말씀이나 궁금한 점이 있으면 말씀해 주세요.</t>
  </si>
  <si>
    <t>우선 이런 멘트 기회를 주셔서 정말 감사합니다. DS뿐만 백엔드 개발자로서 성장하기 위해 특히 우선을 갖춰야 할 영향이 무엇인지 궁금합니다. 이를 기준으로 빠르게 기여할 수 있도록 준비하겠습니다.</t>
  </si>
  <si>
    <t>총계</t>
  </si>
  <si>
    <t>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t>
  </si>
  <si>
    <t>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증가 상황을 가정해 데이터 정기화와 인덱스 최적화를 진행하고 요청 처리와 AI 연산 흐름을 분리해 병목을 개선하는 경험이 있습니다. 또한 공통 제시한 포맷 정의와</t>
  </si>
  <si>
    <t>{"평가영역": "자기 표현 &amp; 기본 커뮤니케이션", "항목별배점": {"논리적 구조": 40, "핵심 전달력": 40, "질문 의도 파악": 20}, "세부항목점수": {"논리적 구조": 30, "핵심 전달력": 35, "질문 의도 파악": 0}}</t>
  </si>
  <si>
    <t>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구조로 사용자에게 전달되는지를 직접 구현해보며 백엔드의 역할을 체감했습니다. 특히 온프레미스 AI 모의 면접 플랫폼을 설계하면서 API 서버 데이터베이스 AI 모듈을 하나의 구조로 연결하고 동시 요청 증가 상황을 보내 데이터 정교화와 처리 흐름을 볼일을 설계했던 경험이 결정적인 계기가 되었습니다.</t>
  </si>
  <si>
    <t>{"평가영역": "지원 동기 &amp; 회사 적합성", "항목별배점": {"진정성": 30, "직무 이해도": 40, "내용의 구체성": 30}, "세부항목점수": {"진정성": 70, "직무 이해도": 80, "내용의 구체성": 65}}</t>
  </si>
  <si>
    <t>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실행 시간이 약 1초 이상에서 수백 밀리처 수준으로 감소했습니다. 이 경험으로 통해 조인 알고리즘 자체를 직접 선택하기보다 인덱스 설계와 데이터 구조 개선이 실행 계획에 큰 영향을 준다는 것을 체감했습니다.</t>
  </si>
  <si>
    <t>{"평가영역": "직무 지식 이해도", "항목별배점": {"논리성": 30, "용어 활용력": 20, "개념의 정확성": 50}, "세부항목점수": {"논리성": 75, "용어 활용력": 85, "개념의 정확성": 90}}</t>
  </si>
  <si>
    <t>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t>
  </si>
  <si>
    <t>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실제로 적용되었습니다. 데이터 테이블을 정교화하고 자주 조회되는 컬럼의 인덱스를 추가해 조회 속도를 개선했으며 불필요한 중복 저장을 제거해 안정성을 높였습니다. 자격증 취득이 단순 이론 학습에 그치지 않고 실제 성능 개선 경험으로 이어졌다는 점이 가장 큰 의미라고 생각합니다.</t>
  </si>
  <si>
    <t>{"평가영역": "직무 지식 이해도", "항목별배점": {"논리성": 30, "용어 활용력": 20, "개념의 정확성": 50}, "세부항목점수": {"논리성": 65, "용어 활용력": 70, "개념의 정확성": 80}}</t>
  </si>
  <si>
    <t>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불일치 문제가 발생해 공통 제이슨 포맷을 정의하고 스와법으로 분사화 했으며 깃브렌치 전략과 pr 리뷰 절차를 도입해 협업 안전성을 높였습니다 이를 통해 단순 기능 구현이 아닌 우주 설대와 협업체계를 정립하는 모습을 시행했습니다</t>
  </si>
  <si>
    <t>{"평가영역": "직무 경험 &amp; 문제 해결", "항목별배점": {"문제 해결력": 40, "성과 구체성": 30, "STAR 구조 적합성": 30}, "세부항목점수": {"문제 해결력": 55, "성과 구체성": 50, "STAR 구조 적합성": 60}}</t>
  </si>
  <si>
    <t>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커리 실행시간이 수백 밀리처 수준으로 감소했고 동시 요청 상황에도 응답 지원이 크게 완화되었습니다. 가장 큰 도전은 구조 변경 시 기존 로직과의 호환성을 유지하는 것이었습니다. 데이터 마이그레이션과 테스트를 병행하며 전진적으로 적용의 안정성을 확보했습니다.</t>
  </si>
  <si>
    <t>{"평가영역": "직무 경험 &amp; 문제 해결", "항목별배점": {"문제 해결력": 40, "성과 구체성": 30, "STAR 구조 적합성": 30}, "세부항목점수": {"문제 해결력": 80, "성과 구체성": 80, "STAR 구조 적합성": 85}}</t>
  </si>
  <si>
    <t>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t>
  </si>
  <si>
    <t>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DB에 저장하고 AI 처리는 별도 모듈에서 수행하도록 분리했습니다. 또한 상태가 콜럼을 두어 처리 단계를 관리하도록 설계했습니다.</t>
  </si>
  <si>
    <t>{"평가영역": "직무 경험 &amp; 문제 해결", "항목별배점": {"문제 해결력": 40, "성과 구체성": 30, "STAR 구조 적합성": 30}, "세부항목점수": {"문제 해결력": 80, "성과 구체성": 72, "STAR 구조 적합성": 75}}</t>
  </si>
  <si>
    <t>팀 프로젝트에서 새로운 아이디어를 제안했을 때, 다른 팀원들이 이를 수용하는 데 어려움을 겪었다면 어떻게 그 아이디어를 더 효과적으로 전달하고 팀의 동의를 얻기 위해 노력했을까요?</t>
  </si>
  <si>
    <t>죄송합니다. 그 부분에 대해서는 잘 모르겠습니다.</t>
  </si>
  <si>
    <t>{"평가영역": "직무 경험 &amp; 문제 해결", "항목별배점": {"문제 해결력": 40, "성과 구체성": 30, "STAR 구조 적합성": 30}, "세부항목점수": {"문제 해결력": 15, "성과 구체성": 10, "STAR 구조 적합성": 20}}</t>
  </si>
  <si>
    <t>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t>
  </si>
  <si>
    <t>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설명했습니다. 또한 완전한 재정비가 아닌 핵심 엔드포인트부터 단계적으로 적용하자는 현실적인 방안을 제시했습니다. 그 결과 팀원들의 본감을 얻어 수학과 기반 분사화와 공통 포맷 장위를 도입할 수 있었고 이후 통합 오류가 눈에 띄게 감소했습니다. 이 경험을 통해 아이디어를 선택할 때는 의견보다 근거와 데이터가 중요하다는 것을 배웠습니다.</t>
  </si>
  <si>
    <t>{"평가영역": "인성 &amp; 성장 가능성", "항목별배점": {"학습 의지": 30, "협업 및 소통": 30, "책임감/주도성": 40}, "세부항목점수": {"학습 의지": 70, "협업 및 소통": 75, "책임감/주도성": 80}}</t>
  </si>
  <si>
    <t>개수 : stt</t>
  </si>
  <si>
    <t>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t>
  </si>
  <si>
    <t>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t>
  </si>
  <si>
    <t>{"평가영역": "인성 &amp; 성장 가능성", "항목별배점": {"학습 의지": 30, "협업 및 소통": 30, "책임감/주도성": 40}, "세부항목점수": {"학습 의지": 35, "협업 및 소통": 30, "책임감/주도성": 35}}</t>
  </si>
  <si>
    <t>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t>
  </si>
  <si>
    <t>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앞으로도 단계 기능 구현에 집중하기보다 구조적 안정성과 성능을 기반으로 한 설계를 통해 서비스의 신뢰도를 높이고 장기적으로 확장 가능한 아키텍처를 제안하는 개발자로 혁신에 기여하겠습니다.</t>
  </si>
  <si>
    <t>{"평가영역": "인성 &amp; 성장 가능성", "항목별배점": {"학습 의지": 30, "협업 및 소통": 30, "책임감/주도성": 40}, "세부항목점수": {"학습 의지": 23, "협업 및 소통": 30, "책임감/주도성": 35}}</t>
  </si>
  <si>
    <t>지금까지의 경험을 바탕으로, 만약 새로운 기술이나 방법론을 배워야 하는 상황이 생긴다면, 어떻게 학습 계획을 세우고 이를 통해 팀과 조직에 긍정적인 변화를 가져올 수 있다고 생각하시나요?</t>
  </si>
  <si>
    <t>그 부분에서는 생각을 해본 적이 없습니다.</t>
  </si>
  <si>
    <t>{"평가영역": "인성 &amp; 성장 가능성", "항목별배점": {"학습 의지": 30, "협업 및 소통": 30, "책임감/주도성": 40}, "세부항목점수": {"학습 의지": 30, "협업 및 소통": 25, "책임감/주도성": 30}}</t>
  </si>
  <si>
    <t>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t>
  </si>
  <si>
    <t>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t>
  </si>
  <si>
    <t>{"평가영역": "인성 &amp; 성장 가능성", "항목별배점": {"학습 의지": 30, "협업 및 소통": 30, "책임감/주도성": 40}, "세부항목점수": {"학습 의지": 65, "협업 및 소통": 70, "책임감/주도성": 80}}</t>
  </si>
  <si>
    <t>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t>
  </si>
  <si>
    <t>{"평가영역": "인성 &amp; 성장 가능성", "항목별배점": {"학습 의지": 30, "협업 및 소통": 30, "책임감/주도성": 40}, "세부항목점수": {"학습 의지": 80, "협업 및 소통": 75, "책임감/주도성": 70}}</t>
  </si>
  <si>
    <t>145 DS 부문 백엔드 개발자로 성장하기 위해 특히 우선적으로 갖추어야 할 영향이 무엇인지 궁금합니다. 이를 기준으로 빠르게 기여할 수 있도록 준비하겠습니다.</t>
  </si>
  <si>
    <t>{"평가영역": "자기 표현 &amp; 기본 커뮤니케이션", "항목별배점": {"논리적 구조": 40, "핵심 전달력": 40, "질문 의도 파악": 20}, "세부항목점수": {"논리적 구조": 70, "핵심 전달력": 65, "질문 의도 파악": 64}}</t>
  </si>
  <si>
    <t>반갑습니다. 우선 저희 안랩 보안엔지니어에 지원해 주셔서 감사합니다. 저는 오늘 면접을 진행할 면접관 VIEW입니다. 최승우 지원자님,면접을 시작하기 위해 먼저 간단히 자기소개 부탁드립니다.</t>
  </si>
  <si>
    <t>감사합니다. 이어서 지원하신 동기에 대해 들어보고 싶습니다. 최승우 지원자님, 지원하신 직무인 '보안엔지니어'에 지원하게 된 동기는 무엇입니까?</t>
  </si>
  <si>
    <t>이력서를 보니 정보보안기사, 리눅스마스터 2 급, 네트워크관리사 2 급 자격증을 취득하셨네요. 이 과정에서 습득한 지식과 기술이 무엇인지 구체적으로 말씀해 주세요.</t>
  </si>
  <si>
    <t>개수 : 점수계산</t>
  </si>
  <si>
    <t>정보보안 기사 취득 후 실제로 어떤 보안 취약점을 식별하고 해결하셨는지, 구체적으로 리눅스 환경에서의 특정 사례와 함께 기술해 주세요.</t>
  </si>
  <si>
    <t>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t>
  </si>
  <si>
    <t>"neutral"</t>
  </si>
  <si>
    <t>{"평가영역": "자기 표현 &amp; 기본 커뮤니케이션", "항목별배점": {"논리적 구조": 40, "핵심 전달력": 40, "질문 의도 파악": 20}, "세부항목점수": {"논리적 구조": 50, "핵심 전달력": 55, "질문 의도 파악": 60}}</t>
  </si>
  <si>
    <t>잘 모르겠습니다.</t>
  </si>
  <si>
    <t>{"평가영역": "직무 지식 이해도", "항목별배점": {"논리성": 30, "용어 활용력": 20, "개념의 정확성": 50}, "세부항목점수": {"논리성": 10, "용어 활용력": 0, "개념의 정확성": 10}}</t>
  </si>
  <si>
    <t>경력사항에 한국인터넷진흥원(KISA),에서 인턴일을 하셨고, 더존메가컴퓨터아카데미에서 오픈소스 기반 침입 탐지 관련 프로젝트를 하셨네요. 각 분야에서 구체적으로 어떤 일을 하셨는지 설명해 주세요.</t>
  </si>
  <si>
    <t>최종</t>
  </si>
  <si>
    <t>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t>
  </si>
  <si>
    <t>{"평가영역": "지원 동기 &amp; 회사 적합성", "항목별배점": {"진정성": 30, "직무 이해도": 40, "내용의 구체성": 30}, "세부항목점수": {"진정성": 52, "직무 이해도": 40, "내용의 구체성": 30}}</t>
  </si>
  <si>
    <t>질문생성 테스트</t>
  </si>
  <si>
    <t>{"평가영역": "직무 경험 &amp; 문제 해결", "항목별배점": {"문제 해결력": 40, "성과 구체성": 30, "STAR 구조 적합성": 30}, "세부항목점수": {"문제 해결력": 35, "성과 구체성": 55, "STAR 구조 적합성": 40}}</t>
  </si>
  <si>
    <t>~라고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t>
  </si>
  <si>
    <t>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시작은 결국 서버 시스템에 대한 완벽한 자항력에서 시작된다고 생각합니다. 세 번째로 네트워크 관리자 2급은 서비스 간 연결의 안정성 확보를 위한 마이크로 서비스 아키텍처에서 네트워크는 서비스의 열광과 같습니다.</t>
  </si>
  <si>
    <t>{"평가영역": "직무 지식 이해도", "항목별배점": {"논리성": 30, "용어 활용력": 20, "개념의 정확성": 50}, "세부항목점수": {"논리성": 30, "용어 활용력": 20, "개념의 정확성": 45}}</t>
  </si>
  <si>
    <t>잘 모르겠습니다</t>
  </si>
  <si>
    <t>{"평가영역": "직무 경험 &amp; 문제 해결", "항목별배점": {"문제 해결력": 40, "성과 구체성": 30, "STAR 구조 적합성": 30}, "세부항목점수": {"문제 해결력": 15, "성과 구체성": 10, "STAR 구조 적합성": 15, "직무 경험 &amp; 문제 해결": 20}}</t>
  </si>
  <si>
    <t>오픈소스 기반 침입 탐지를 하실 때 경험했던 기술적 문제가 있었나요.만약 있었다면 어떤 문제였고 또 그것을 어떤 방식으로 해결하셨는지 구체적으로 말씀해 주세요.</t>
  </si>
  <si>
    <t>{"평가영역": "직무 경험 &amp; 문제 해결", "항목별배점": {"문제 해결력": 40, "성과 구체성": 30, "STAR 구조 적합성": 30}, "세부항목점수": {"문제 해결력": 10, "성과 구체성": 0, "STAR 구조 적합성": 10}}</t>
  </si>
  <si>
    <t>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t>
  </si>
  <si>
    <t>{"평가영역": "직무 경험 &amp; 문제 해결", "항목별배점": {"문제 해결력": 40, "성과 구체성": 30, "STAR 구조 적합성": 30}, "세부항목점수": {"문제 해결력": 20, "성과 구체성": 5, "STAR 구조 적합성": 20}}</t>
  </si>
  <si>
    <t>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t>
  </si>
  <si>
    <t>{"평가영역": "인성 &amp; 성장 가능성", "항목별배점": {"학습 의지": 30, "협업 및 소통": 30, "책임감/주도성": 40}, "세부항목점수": {"학습 의지": 31, "협업 및 소통": 25, "책임감/주도성": 4}}</t>
  </si>
  <si>
    <t>동료와 중요한 보안 이슈에 대한 의견이 극명하게 상충될 때, 어떻게 상호 존중을 유지하면서도 효과적인 해결책을 도출해낼 수 있을지 구체적인 사례와 함께 설명해 주실래요?</t>
  </si>
  <si>
    <t>자기소개서에 "안랩은 대한민국 보안의 자부심이며, 제가 가진 보안 전문가로서의 윤리 의식과 사명감을 가장 잘 실천할 수 있는 터전입니다." 라고 작성하셨습니다. 그렇다면, 누구나 사용할 수 있는 보안 기술을 통해 사회적 약자나 접근성이 제한된 사용자들의 정보 보호를 어떻게 강화하고 싶으신가요?</t>
  </si>
  <si>
    <t>{"평가영역": "인성 &amp; 성장 가능성", "항목별배점": {"학습 의지": 30, "협업 및 소통": 30, "책임감/주도성": 40}, "세부항목점수": {"학습 의지": 30, "협업 및 소통": 30, "책임감/주도성": 40}}</t>
  </si>
  <si>
    <t>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t>
  </si>
  <si>
    <t>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t>
  </si>
  <si>
    <t>{"평가영역": "인성 &amp; 성장 가능성", "항목별배점": {"학습 의지": 30, "협업 및 소통": 30, "책임감/주도성": 40}, "세부항목점수": {"학습 의지": 25, "협업 및 소통": 20, "책임감/주도성": 20}}</t>
  </si>
  <si>
    <t>주변 동료들이 변화를 주저할 때, 어떻게 그들에게 새로운 보안 기술이나 방법론의 도입이 장기적으로 팀과 사용자 경험을 어떻게 향상시킬 수 있는지 설득할 계획인지 자세히 말씀해 주실 수 있나요?</t>
  </si>
  <si>
    <t>최승우 지원자님, 마지막으로 하고 싶으신 말씀이나 궁금한 점이 있으면 말씀해 주세요.</t>
  </si>
  <si>
    <t>이미 테스트 다 하셨어요? 하고 있습니다 잘 모르겠습니다</t>
  </si>
  <si>
    <t>{"평가영역": "인성 &amp; 성장 가능성", "항목별배점": {"학습 의지": 30, "협업 및 소통": 30, "책임감/주도성": 40}, "세부항목점수": {"학습 의지": 0, "협업 및 소통": 15, "책임감/주도성": 20}}</t>
  </si>
  <si>
    <t>없습니다</t>
  </si>
  <si>
    <t>{"평가영역": "자기 표현 &amp; 기본 커뮤니케이션", "항목별배점": {"논리적 구조": 40, "핵심 전달력": 40, "질문 의도 파악": 20}, "세부항목점수": {"논리적 구조": 40, "핵심 전달력": 40, "질문 의도 파악": 0}}</t>
  </si>
  <si>
    <t xml:space="preserve"> AI </t>
  </si>
  <si>
    <t>우선 저희 삼성전자 DS부문 백엔드 개발 직무에 지원해 주셔서 감사합니다. 저는 오늘 면접을 진행할 면접관 BIG-VIEW 입니다. 나재민 지원자님, 면접을 시작하기 위해 먼저 간단히 자기소개 부탁드립니다.</t>
  </si>
  <si>
    <t xml:space="preserve"> USER </t>
  </si>
  <si>
    <t>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데이터를 안정적으로 처리하는 백엔드 시스템 구축에 기여하고 싶습니다.</t>
  </si>
  <si>
    <t>감사합니다. 이어서 지원 동기에 대해 들어보고 싶습니다. 나재민 지원자님, 백엔드 개발 직무에 지원하게 된 동기는 무엇입니까? 또한 전자공학을 전공하셨는데 어떤 계기로 백엔드 개발에 관심을 갖게 되셨나요?</t>
  </si>
  <si>
    <t>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개발자로 성장하고 싶습니다.</t>
  </si>
  <si>
    <t>이력서를 보니 SQLD와 ADSP 자격증을 취득하셨네요. 이 과정에서 습득한 지식과 기술이 무엇인지 구체적으로 말씀해 주세요.</t>
  </si>
  <si>
    <t>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t>
  </si>
  <si>
    <t>SQLD에서 정규화 원칙을 적용하여 API 응답 지연 문제를 해결하셨다고 했는데, 몇 번째 정규형까지 적용했고 응답 시간 개선 수치를 설명해 주세요.</t>
  </si>
  <si>
    <t>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t>
  </si>
  <si>
    <t>인천대학교 팀 프로젝트에서 온프레미스 기반 AI 모의면접 플랫폼 백엔드 개발을 하셨다고 했는데, 구체적으로 어떤 일을 하셨는지 설명해 주세요.</t>
  </si>
  <si>
    <t>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t>
  </si>
  <si>
    <t>API 설계 과정에서 성능 지표를 어떻게 개선했고 사용자 경험에는 어떤 영향이 있었나요?</t>
  </si>
  <si>
    <t>인덱스 추가와 쿼리 구조 개선을 통해 API 응답 시간을 줄였습니다. 정확한 수치는 기억이 나지 않지만 실행 시간이 감소했고 사용자가 화면을 요청했을 때 이전보다 더 빠르게 응답을 받을 수 있었습니다.</t>
  </si>
  <si>
    <t>온프레미스 AI 모의면접 플랫폼을 진행하며 기술적으로 어려웠던 점은 무엇이었나요?</t>
  </si>
  <si>
    <t>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t>
  </si>
  <si>
    <t>성능 개선 결과에 대해 구체적인 수치를 설명해 주실 수 있나요?</t>
  </si>
  <si>
    <t>정확한 수치는 기억나지 않지만 비동기 처리 적용 전에는 응답 시간이 1초 이상 발생하기도 했고 이후에는 약 700~800ms 수준으로 줄어든 것으로 기억합니다.</t>
  </si>
  <si>
    <t>팀 프로젝트에서 창의적인 해결책을 제시했던 경험이 있나요?</t>
  </si>
  <si>
    <t>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t>
  </si>
  <si>
    <t>의견 충돌이 발생했을 때 어떻게 해결했나요?</t>
  </si>
  <si>
    <t>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t>
  </si>
  <si>
    <t>백엔드 개발자로 성장하기 위한 기준은 무엇인가요?</t>
  </si>
  <si>
    <t>저는 확장성을 고려한 설계, 측정 가능한 개선, 그리고 문서화와 공유 책임이라는 세 가지 기준을 가지고 성장하고자 합니다.</t>
  </si>
  <si>
    <t>회사의 단기 목표와 장기 확장성이 충돌할 경우 어떻게 하겠습니까?</t>
  </si>
  <si>
    <t>죄송하지만 그 부분은 아직 깊이 고민하지 못했습니다. 생각을 정리한 뒤 답변드리고 싶습니다.</t>
  </si>
  <si>
    <t>새로운 기술을 이해하지 못해 팀 프로젝트에 어려움이 생기면 어떻게 하겠습니까?</t>
  </si>
  <si>
    <t>새로운 기술에 대한 이해가 부족하다면 먼저 문제를 숨기지 않고 공유하고 빠르게 학습하여 팀에 도움이 되도록 노력하겠습니다.</t>
  </si>
  <si>
    <t>어려운 목표 상황에서도 성장 의지를 유지하는 방법은 무엇인가요?</t>
  </si>
  <si>
    <t>어려움이 있을 때 그 상황을 성장 구간으로 해석하고 목표를 작은 단위로 나누어 해결합니다. 과거의 경험을 바탕으로 꾸준히 개선하며 성장하려고 합니다.</t>
  </si>
  <si>
    <t>마지막으로 하고 싶은 말이 있나요?</t>
  </si>
  <si>
    <t>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t>
  </si>
  <si>
    <t>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t>
  </si>
  <si>
    <t>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t>
  </si>
  <si>
    <t>{"gaze": 99.2, "audio": 93.7, "q_idx": 0, "smile": 60.0, "total": 84.6, "frames": 154, "emotion": 59.9, "posture": 78.4}</t>
  </si>
  <si>
    <t>{"평가영역": "자기 표현 &amp; 기본 커뮤니케이션", "항목별배점": {"논리적 구조": 40, "핵심 전달력": 40, "질문 의도 파악": 20}, "세부항목점수": {"논리적 구조": 40, "핵심 전달력": 35, "질문 의도 파악": 20}}</t>
  </si>
  <si>
    <t>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t>
  </si>
  <si>
    <t>{"gaze": 100.0, "audio": 96.6, "q_idx": 1, "smile": 60.7, "total": 88.8, "frames": 141, "emotion": 60.6, "posture": 98.0}</t>
  </si>
  <si>
    <t>{"평가영역": "지원 동기 &amp; 회사 적합성", "항목별배점": {"진정성": 30, "직무 이해도": 40, "내용의 구체성": 30}, "세부항목점수": {"진정성": 13, "직무 이해도": 40, "내용의 구체성": 25}}</t>
  </si>
  <si>
    <t>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t>
  </si>
  <si>
    <t>{"gaze": 100.0, "audio": 98.0, "q_idx": 3, "smile": 60.8, "total": 88.1, "frames": 180, "emotion": 60.7, "posture": 89.8}</t>
  </si>
  <si>
    <t>{"평가영역": "직무 지식 이해도", "항목별배점": {"논리성": 30, "용어 활용력": 20, "개념의 정확성": 50}, "세부항목점수": {"논리성": 40, "용어 활용력": 30, "개념의 정확성": 55}}</t>
  </si>
  <si>
    <t>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t>
  </si>
  <si>
    <t>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t>
  </si>
  <si>
    <t>{"gaze": 99.5, "audio": 97.4, "q_idx": 4, "smile": 62.0, "total": 87.9, "frames": 260, "emotion": 61.9, "posture": 89.1}</t>
  </si>
  <si>
    <t>{"평가영역": "직무 경험 &amp; 문제 해결", "항목별배점": {"문제 해결력": 40, "성과 구체성": 30, "STAR 구조 적합성": 30}, "세부항목점수": {"문제 해결력": 15, "성과 구체성": 0, "STAR 구조 적합성": 30}}</t>
  </si>
  <si>
    <t>자격증을 채급 등의 학습득한 데이터베이스 모듈과 분석지식은 실무적인 경로 기구를 활용했습니다. 이 스포이 ADSB 분석적 시간 통을 바탕으로 AI 연상과 요청 처리 흐름을 위해 시스템 전체 효율을 높였습니다.</t>
  </si>
  <si>
    <t>{"gaze": 100.0, "audio": 96.6, "q_idx": 2, "smile": 60.0, "total": 87.7, "frames": 211, "emotion": 59.9, "posture": 91.7}</t>
  </si>
  <si>
    <t>{"평가영역": "직무 지식 이해도", "항목별배점": {"논리성": 30, "용어 활용력": 20, "개념의 정확성": 50}, "세부항목점수": {"논리성": 15, "용어 활용력": 0, "개념의 정확성": 30}}</t>
  </si>
  <si>
    <t>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평균 연합도 2.3초에서 0.8초로 66%를 계산할 수 있었고 데이터 구축 시간을 투자업 대비 86%를 단축하는 성과를 이뤘습니다.</t>
  </si>
  <si>
    <t>{"gaze": 100.0, "audio": 97.4, "q_idx": 5, "smile": 60.1, "total": 86.6, "frames": 265, "emotion": 60.0, "posture": 82.5}</t>
  </si>
  <si>
    <t>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t>
  </si>
  <si>
    <t>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또한 포스트잇 SQL의 PG 벡터를 활용하여 벡터 검색 구조를 설계하고 자주 조회되는 컬럼의 인덱스를 추가하여 커리 성능을 최적화하였습니다.</t>
  </si>
  <si>
    <t>{"gaze": 100.0, "audio": 98.4, "q_idx": 6, "smile": 60.0, "total": 84.2, "frames": 301, "emotion": 59.9, "posture": 64.7}</t>
  </si>
  <si>
    <t>팀 프로젝트에서 혁신적인 아이디어로 사용자 경험을 크게 개선했는데, 그때 동료들과의 의견 차이를 어떻게 조율하고 모두가 만족할 수 있는 해결책을 도출했는지 말씀해 주세요.</t>
  </si>
  <si>
    <t>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t>
  </si>
  <si>
    <t>{"gaze": 100.0, "audio": 96.9, "q_idx": 7, "smile": 60.0, "total": 83.6, "frames": 236, "emotion": 59.9, "posture": 63.7}</t>
  </si>
  <si>
    <t>{"평가영역": "직무 경험 &amp; 문제 해결", "항목별배점": {"문제 해결력": 40, "성과 구체성": 30, "STAR 구조 적합성": 30}, "세부항목점수": {"문제 해결력": 65, "성과 구체성": 55, "STAR 구조 적합성": 60}}</t>
  </si>
  <si>
    <t>동료들과의 이해관계가 상충되는 상황에서 혁신적인 해결책을 찾는 과정에서, 개인적인 의견을 뒤로 하고 팀의 목표를 우선시하는 결정을 내리는 데 어떤 기준을 두고 판단했는지 자세히 설명해 주세요.</t>
  </si>
  <si>
    <t>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PIAB 절차를 새롭게 재현하며 영업 정도를 최소화하고서 통합 테스트를 예정대로 완료하고 로그 바이센 반도를 현재 갖추는 성과를 보셨습니다</t>
  </si>
  <si>
    <t>{"gaze": 98.8, "audio": 97.2, "q_idx": 8, "smile": 60.1, "total": 85.4, "frames": 303, "emotion": 60.0, "posture": 77.3}</t>
  </si>
  <si>
    <t>{"평가영역": "인성 &amp; 성장 가능성", "항목별배점": {"학습 의지": 30, "협업 및 소통": 30, "책임감/주도성": 40}, "세부항목점수": {"학습 의지": 35, "협업 및 소통": 25, "책임감/주도성": 40}}</t>
  </si>
  <si>
    <t>자기소개서에서 "서비스의 완성도는 코드 한 줄이 아니라 구조 설계에서 결정된다"는 가치관이 인상적이었습니다. 새로운 분야인 백엔드 개발에 임할 때, 이러한 가치관을 바탕으로 사용자 경험을 어떻게 확장하고 세상에 긍정적인 변화를 가져올 책임을 느끼고 계신지 말씀해 주세요.</t>
  </si>
  <si>
    <t>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제 담당 영업 레이도 작업 일부를 지원하며 전체 일정을 회복하는 데 주력했고 이를 통해 누구의 잘못인가 보다 어떻게 목표를 달성할 것인가에 대한 초점을 전환하였습니다</t>
  </si>
  <si>
    <t>{"gaze": 94.7, "audio": 98.0, "q_idx": 9, "smile": 60.0, "total": 82.7, "frames": 335, "emotion": 59.9, "posture": 65.6}</t>
  </si>
  <si>
    <t>{"평가영역": "인성 &amp; 성장 가능성", "항목별배점": {"학습 의지": 30, "협업 및 소통": 30, "책임감/주도성": 40}, "세부항목점수": {"학습 의지": 25, "협업 및 소통": 30, "책임감/주도성": 40}}</t>
  </si>
  <si>
    <t>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t>
  </si>
  <si>
    <t>{"gaze": 98.8, "audio": 98.0, "q_idx": 10, "smile": 60.0, "total": 85.4, "frames": 276, "emotion": 59.9, "posture": 75.9}</t>
  </si>
  <si>
    <t>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t>
  </si>
  <si>
    <t>과거 팀 프로젝트에서 어려움을 극복하며 성장한 경험을 바탕으로, 새로운 도전이나 변화에 직면했을 때 어떻게 자신의 역량을 발전시키고 팀에 긍정적인 영향을 미칠지 구체적으로 설명해 주세요.</t>
  </si>
  <si>
    <t>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t>
  </si>
  <si>
    <t>{"gaze": 99.7, "audio": 97.6, "q_idx": 11, "smile": 60.0, "total": 87.7, "frames": 244, "emotion": 59.9, "posture": 90.2}</t>
  </si>
  <si>
    <t>{"평가영역": "인성 &amp; 성장 가능성", "항목별배점": {"학습 의지": 30, "협업 및 소통": 30, "책임감/주도성": 40}, "세부항목점수": {"학습 의지": 35, "협업 및 소통": 25, "책임감/주도성": 35}}</t>
  </si>
  <si>
    <t>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t>
  </si>
  <si>
    <t>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t>
  </si>
  <si>
    <t>{"gaze": 100.0, "audio": 97.4, "q_idx": 12, "smile": 60.0, "total": 87.2, "frames": 246, "emotion": 59.9, "posture": 86.5}</t>
  </si>
  <si>
    <t>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t>
  </si>
  <si>
    <t>{"gaze": 100.0, "audio": 98.4, "q_idx": 13, "smile": 60.0, "total": 87.0, "frames": 216, "emotion": 59.9, "posture": 83.3}</t>
  </si>
  <si>
    <t>{"평가영역": "인성 &amp; 성장 가능성", "항목별배점": {"학습 의지": 30, "협업 및 소통": 30, "책임감/주도성": 40}, "세부항목점수": {"학습 의지": 40, "협업 및 소통": 30, "책임감/주도성": 35}}</t>
  </si>
  <si>
    <t>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t>
  </si>
  <si>
    <t>{"gaze": 81.8, "audio": 97.8, "q_idx": 14, "smile": 60.0, "total": 78.9, "frames": 281, "emotion": 59.9, "posture": 67.3}</t>
  </si>
  <si>
    <t>{"평가영역": "자기 표현 &amp; 기본 커뮤니케이션", "항목별배점": {"논리적 구조": 40, "핵심 전달력": 40, "질문 의도 파악": 20}, "세부항목점수": {"논리적 구조": 40, "핵심 전달력": 35, "질문 의도 파악": 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</si>
</sst>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3">
    <font>
      <sz val="11.0"/>
      <color theme="1"/>
      <name val="Calibri"/>
      <scheme val="minor"/>
    </font>
    <font>
      <color theme="1"/>
      <name val="Calibri"/>
      <scheme val="minor"/>
    </font>
    <font>
      <sz val="11.0"/>
      <color theme="1"/>
      <name val="Malgun Gothic"/>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vertical="center"/>
    </xf>
    <xf borderId="0" fillId="0" fontId="2" numFmtId="47" xfId="0" applyAlignment="1" applyFont="1" applyNumberFormat="1">
      <alignment vertical="center"/>
    </xf>
    <xf borderId="0" fillId="0" fontId="2" numFmtId="0" xfId="0" applyAlignment="1" applyFont="1">
      <alignment vertical="center"/>
    </xf>
    <xf borderId="0" fillId="0" fontId="2" numFmtId="0" xfId="0" applyAlignment="1" applyFont="1">
      <alignment horizontal="left" vertical="center"/>
    </xf>
    <xf borderId="0" fillId="0" fontId="2" numFmtId="2" xfId="0" applyAlignment="1" applyFont="1" applyNumberFormat="1">
      <alignment vertical="center"/>
    </xf>
    <xf borderId="0" fillId="0" fontId="2" numFmtId="164" xfId="0" applyAlignment="1" applyFont="1" applyNumberFormat="1">
      <alignment vertical="center"/>
    </xf>
    <xf borderId="0" fillId="0" fontId="2" numFmtId="22"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48" sheet="transcript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2.0"/>
        <n v="34.0"/>
        <n v="33.0"/>
        <n v="36.0"/>
        <n v="31.0"/>
        <n v="35.0"/>
        <n v="38.0"/>
        <n v="37.0"/>
        <n v="40.0"/>
        <n v="39.0"/>
        <n v="42.0"/>
        <n v="41.0"/>
        <n v="44.0"/>
        <n v="43.0"/>
        <n v="46.0"/>
        <n v="45.0"/>
        <n v="48.0"/>
        <n v="47.0"/>
        <n v="50.0"/>
        <n v="49.0"/>
        <n v="52.0"/>
        <n v="51.0"/>
        <n v="54.0"/>
        <n v="53.0"/>
        <n v="55.0"/>
        <n v="219.0"/>
        <n v="220.0"/>
        <n v="221.0"/>
        <n v="225.0"/>
        <n v="222.0"/>
        <n v="226.0"/>
        <n v="227.0"/>
        <n v="223.0"/>
        <n v="228.0"/>
        <n v="229.0"/>
        <n v="224.0"/>
        <n v="230.0"/>
        <n v="231.0"/>
        <n v="232.0"/>
        <n v="233.0"/>
        <n v="234.0"/>
        <n v="235.0"/>
        <n v="236.0"/>
        <n v="237.0"/>
        <n v="239.0"/>
        <n v="238.0"/>
        <n v="241.0"/>
        <n v="240.0"/>
        <n v="243.0"/>
        <n v="242.0"/>
        <n v="245.0"/>
        <n v="244.0"/>
        <n v="247.0"/>
        <n v="246.0"/>
        <n v="248.0"/>
      </sharedItems>
    </cacheField>
    <cacheField name="interview_id" numFmtId="0">
      <sharedItems containsString="0" containsBlank="1" containsNumber="1" containsInteger="1">
        <n v="6.0"/>
        <n v="7.0"/>
        <n v="38.0"/>
        <m/>
        <n v="5.0"/>
      </sharedItems>
    </cacheField>
    <cacheField name="speaker" numFmtId="0">
      <sharedItems>
        <s v="AI"/>
        <s v="USER"/>
        <s v=" AI "/>
        <s v=" USER "/>
      </sharedItems>
    </cacheField>
    <cacheField name="text" numFmtId="0">
      <sharedItems>
        <s v="반갑습니다. 우선 저희 삼성전자 DS부문 백엔드 개발 직무에 지원해 주셔서 감사합니다. 저는 오늘 면접을 진행할 면접관 BIG-VIEW 입니다. 나재민 지원자님, 면접을 시작하기 위해 먼저 간단히 자기소개 부탁드립니다."/>
        <s v="감사합니다. 이어서 지원하신 동기에 대해 들어보고 싶습니다. 나재민 지원자님, '백엔드 개발'에 지원하게 된 동기는 무엇입니까? 또한 전자공학을 전공하셨는데 어떤 계기로 백엔드 개발에 관심을 갖게 되셨나요?"/>
        <s v="이력서를 보니 SQLD, ADSP 자격증을 취득하셨네요. 이 과정에서 습득한 지식과 기술이 무엇인지 구체적으로 말씀해 주세요."/>
        <s v="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
        <s v="안녕하십니까 제 이름은 아대민 지원자입니다. 인터뷰에서 잘 보고 싶어서 지원하였습니다. 하나 둘 셋"/>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s v="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
        <s v="백엔드 분야를 알아보다가 백엔드에 대해서 관심 갖게 되었습니다."/>
        <s v="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
        <s v="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
        <s v="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
        <s v="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
        <s v="그렇다면, 언급하신 '온프레미스 기반 AI 모의면접 플랫폼 백엔드 개발' 프로젝트를 진행하며 겪었던 기술적인 어려움이 있었나요.어떤 상황이었고, 그걸 어떻게 해결하셨는지 구체적으로 말씀해 주세요."/>
        <s v="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s v="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
        <s v="팀 프로젝트에서 의견 차이가 발생했을 때, 어떻게 조화를 이루며 공동 목표 달성에 기여했는지 구체적인 사례를 들어 설명해 주세요."/>
        <s v="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
        <s v="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s v="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
        <s v="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
        <s v="자기소개서에서 &quot;서비스의 완성도는 코드 한 줄이 아니라 구조 설계에서 결정된다&quot;고 작성하셨습니다. 이 가치관을 바탕으로 새로운 분야에 도전하는 상황에서 개인적인 책임감과 기준은 무엇인가요?"/>
        <s v="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
        <s v="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
        <s v="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
        <s v="어려움을 극복하며 팀과 함께 성장해온 경험에서, 어떤 마음가짐으로 변화와 새로운 도전에 임하고 있나요?"/>
        <s v="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
        <s v="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
        <s v="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s v="나재민 지원자님, 마지막으로 하고 싶으신 말씀이나 궁금한 점이 있으면 말씀해 주세요."/>
        <s v="우선 이런 멘트 기회를 주셔서 정말 감사합니다. DS뿐만 백엔드 개발자로서 성장하기 위해 특히 우선을 갖춰야 할 영향이 무엇인지 궁금합니다. 이를 기준으로 빠르게 기여할 수 있도록 준비하겠습니다."/>
        <s v="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
        <s v="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
        <s v="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
        <s v="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
        <s v="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
        <s v="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
        <s v="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s v="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s v="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
        <s v="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
        <s v="팀 프로젝트에서 새로운 아이디어를 제안했을 때, 다른 팀원들이 이를 수용하는 데 어려움을 겪었다면 어떻게 그 아이디어를 더 효과적으로 전달하고 팀의 동의를 얻기 위해 노력했을까요?"/>
        <s v="죄송합니다. 그 부분에 대해서는 잘 모르겠습니다."/>
        <s v="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
        <s v="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
        <s v="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
        <s v="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
        <s v="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
        <s v="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
        <s v="지금까지의 경험을 바탕으로, 만약 새로운 기술이나 방법론을 배워야 하는 상황이 생긴다면, 어떻게 학습 계획을 세우고 이를 통해 팀과 조직에 긍정적인 변화를 가져올 수 있다고 생각하시나요?"/>
        <s v="그 부분에서는 생각을 해본 적이 없습니다."/>
        <s v="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
        <s v="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
        <s v="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
        <s v="145 DS 부문 백엔드 개발자로 성장하기 위해 특히 우선적으로 갖추어야 할 영향이 무엇인지 궁금합니다. 이를 기준으로 빠르게 기여할 수 있도록 준비하겠습니다."/>
        <s v="반갑습니다. 우선 저희 안랩 보안엔지니어에 지원해 주셔서 감사합니다. 저는 오늘 면접을 진행할 면접관 VIEW입니다. 최승우 지원자님,면접을 시작하기 위해 먼저 간단히 자기소개 부탁드립니다."/>
        <s v="감사합니다. 이어서 지원하신 동기에 대해 들어보고 싶습니다. 최승우 지원자님, 지원하신 직무인 '보안엔지니어'에 지원하게 된 동기는 무엇입니까?"/>
        <s v="이력서를 보니 정보보안기사, 리눅스마스터 2 급, 네트워크관리사 2 급 자격증을 취득하셨네요. 이 과정에서 습득한 지식과 기술이 무엇인지 구체적으로 말씀해 주세요."/>
        <s v="정보보안 기사 취득 후 실제로 어떤 보안 취약점을 식별하고 해결하셨는지, 구체적으로 리눅스 환경에서의 특정 사례와 함께 기술해 주세요."/>
        <s v="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
        <s v="잘 모르겠습니다."/>
        <s v="경력사항에 한국인터넷진흥원(KISA),에서 인턴일을 하셨고, 더존메가컴퓨터아카데미에서 오픈소스 기반 침입 탐지 관련 프로젝트를 하셨네요. 각 분야에서 구체적으로 어떤 일을 하셨는지 설명해 주세요."/>
        <s v="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
        <s v="질문생성 테스트"/>
        <s v="~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
        <s v="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
        <s v="잘 모르겠습니다"/>
        <s v="오픈소스 기반 침입 탐지를 하실 때 경험했던 기술적 문제가 있었나요.만약 있었다면 어떤 문제였고 또 그것을 어떤 방식으로 해결하셨는지 구체적으로 말씀해 주세요."/>
        <s v="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
        <s v="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
        <s v="동료와 중요한 보안 이슈에 대한 의견이 극명하게 상충될 때, 어떻게 상호 존중을 유지하면서도 효과적인 해결책을 도출해낼 수 있을지 구체적인 사례와 함께 설명해 주실래요?"/>
        <s v="자기소개서에 &quot;안랩은 대한민국 보안의 자부심이며, 제가 가진 보안 전문가로서의 윤리 의식과 사명감을 가장 잘 실천할 수 있는 터전입니다.&quot; 라고 작성하셨습니다. 그렇다면, 누구나 사용할 수 있는 보안 기술을 통해 사회적 약자나 접근성이 제한된 사용자들의 정보 보호를 어떻게 강화하고 싶으신가요?"/>
        <s v="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
        <s v="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
        <s v="주변 동료들이 변화를 주저할 때, 어떻게 그들에게 새로운 보안 기술이나 방법론의 도입이 장기적으로 팀과 사용자 경험을 어떻게 향상시킬 수 있는지 설득할 계획인지 자세히 말씀해 주실 수 있나요?"/>
        <s v="최승우 지원자님, 마지막으로 하고 싶으신 말씀이나 궁금한 점이 있으면 말씀해 주세요."/>
        <s v="이미 테스트 다 하셨어요? 하고 있습니다 잘 모르겠습니다"/>
        <s v="없습니다"/>
        <s v="우선 저희 삼성전자 DS부문 백엔드 개발 직무에 지원해 주셔서 감사합니다. 저는 오늘 면접을 진행할 면접관 BIG-VIEW 입니다. 나재민 지원자님, 면접을 시작하기 위해 먼저 간단히 자기소개 부탁드립니다."/>
        <s v="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
        <s v="감사합니다. 이어서 지원 동기에 대해 들어보고 싶습니다. 나재민 지원자님, 백엔드 개발 직무에 지원하게 된 동기는 무엇입니까? 또한 전자공학을 전공하셨는데 어떤 계기로 백엔드 개발에 관심을 갖게 되셨나요?"/>
        <s v="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
        <s v="이력서를 보니 SQLD와 ADSP 자격증을 취득하셨네요. 이 과정에서 습득한 지식과 기술이 무엇인지 구체적으로 말씀해 주세요."/>
        <s v="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
        <s v="SQLD에서 정규화 원칙을 적용하여 API 응답 지연 문제를 해결하셨다고 했는데, 몇 번째 정규형까지 적용했고 응답 시간 개선 수치를 설명해 주세요."/>
        <s v="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
        <s v="인천대학교 팀 프로젝트에서 온프레미스 기반 AI 모의면접 플랫폼 백엔드 개발을 하셨다고 했는데, 구체적으로 어떤 일을 하셨는지 설명해 주세요."/>
        <s v="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
        <s v="API 설계 과정에서 성능 지표를 어떻게 개선했고 사용자 경험에는 어떤 영향이 있었나요?"/>
        <s v="인덱스 추가와 쿼리 구조 개선을 통해 API 응답 시간을 줄였습니다. 정확한 수치는 기억이 나지 않지만 실행 시간이 감소했고 사용자가 화면을 요청했을 때 이전보다 더 빠르게 응답을 받을 수 있었습니다."/>
        <s v="온프레미스 AI 모의면접 플랫폼을 진행하며 기술적으로 어려웠던 점은 무엇이었나요?"/>
        <s v="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
        <s v="성능 개선 결과에 대해 구체적인 수치를 설명해 주실 수 있나요?"/>
        <s v="정확한 수치는 기억나지 않지만 비동기 처리 적용 전에는 응답 시간이 1초 이상 발생하기도 했고 이후에는 약 700~800ms 수준으로 줄어든 것으로 기억합니다."/>
        <s v="팀 프로젝트에서 창의적인 해결책을 제시했던 경험이 있나요?"/>
        <s v="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
        <s v="의견 충돌이 발생했을 때 어떻게 해결했나요?"/>
        <s v="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
        <s v="백엔드 개발자로 성장하기 위한 기준은 무엇인가요?"/>
        <s v="저는 확장성을 고려한 설계, 측정 가능한 개선, 그리고 문서화와 공유 책임이라는 세 가지 기준을 가지고 성장하고자 합니다."/>
        <s v="회사의 단기 목표와 장기 확장성이 충돌할 경우 어떻게 하겠습니까?"/>
        <s v="죄송하지만 그 부분은 아직 깊이 고민하지 못했습니다. 생각을 정리한 뒤 답변드리고 싶습니다."/>
        <s v="새로운 기술을 이해하지 못해 팀 프로젝트에 어려움이 생기면 어떻게 하겠습니까?"/>
        <s v="새로운 기술에 대한 이해가 부족하다면 먼저 문제를 숨기지 않고 공유하고 빠르게 학습하여 팀에 도움이 되도록 노력하겠습니다."/>
        <s v="어려운 목표 상황에서도 성장 의지를 유지하는 방법은 무엇인가요?"/>
        <s v="어려움이 있을 때 그 상황을 성장 구간으로 해석하고 목표를 작은 단위로 나누어 해결합니다. 과거의 경험을 바탕으로 꾸준히 개선하며 성장하려고 합니다."/>
        <s v="마지막으로 하고 싶은 말이 있나요?"/>
        <s v="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
        <s v="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
        <s v="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
        <s v="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
        <s v="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
        <s v="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
        <s v="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
        <s v="자격증을 채급 등의 학습득한 데이터베이스 모듈과 분석지식은 실무적인 경로 기구를 활용했습니다. 이 스포이 ADSB 분석적 시간 통을 바탕으로 AI 연상과 요청 처리 흐름을 위해 시스템 전체 효율을 높였습니다."/>
        <s v="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
        <s v="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
        <s v="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s v="팀 프로젝트에서 혁신적인 아이디어로 사용자 경험을 크게 개선했는데, 그때 동료들과의 의견 차이를 어떻게 조율하고 모두가 만족할 수 있는 해결책을 도출했는지 말씀해 주세요."/>
        <s v="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
        <s v="동료들과의 이해관계가 상충되는 상황에서 혁신적인 해결책을 찾는 과정에서, 개인적인 의견을 뒤로 하고 팀의 목표를 우선시하는 결정을 내리는 데 어떤 기준을 두고 판단했는지 자세히 설명해 주세요."/>
        <s v="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
        <s v="자기소개서에서 &quot;서비스의 완성도는 코드 한 줄이 아니라 구조 설계에서 결정된다&quot;는 가치관이 인상적이었습니다. 새로운 분야인 백엔드 개발에 임할 때, 이러한 가치관을 바탕으로 사용자 경험을 어떻게 확장하고 세상에 긍정적인 변화를 가져올 책임을 느끼고 계신지 말씀해 주세요."/>
        <s v="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s v="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
        <s v="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
        <s v="과거 팀 프로젝트에서 어려움을 극복하며 성장한 경험을 바탕으로, 새로운 도전이나 변화에 직면했을 때 어떻게 자신의 역량을 발전시키고 팀에 긍정적인 영향을 미칠지 구체적으로 설명해 주세요."/>
        <s v="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
        <s v="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
        <s v="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
        <s v="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
        <s v="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
      </sharedItems>
    </cacheField>
    <cacheField name="timestamp" numFmtId="47">
      <sharedItems containsDate="1" containsString="0" containsBlank="1">
        <d v="2026-03-03T12:00:19Z"/>
        <d v="2026-03-03T12:00:19Z"/>
        <d v="2026-03-03T12:00:19Z"/>
        <d v="2026-03-03T12:04:59Z"/>
        <d v="2026-03-03T12:01:21Z"/>
        <d v="2026-03-03T13:15:06Z"/>
        <d v="2026-03-03T13:15:06Z"/>
        <d v="2026-03-03T12:02:37Z"/>
        <d v="2026-03-03T13:17:52Z"/>
        <d v="2026-03-03T12:04:40Z"/>
        <d v="2026-03-03T13:17:28Z"/>
        <d v="2026-03-03T13:19:42Z"/>
        <d v="2026-03-03T13:19:42Z"/>
        <d v="2026-03-03T13:21:48Z"/>
        <d v="2026-03-03T13:22:15Z"/>
        <d v="2026-03-03T13:25:10Z"/>
        <d v="2026-03-03T13:24:56Z"/>
        <d v="2026-03-03T13:27:16Z"/>
        <d v="2026-03-03T13:27:41Z"/>
        <d v="2026-03-03T13:29:52Z"/>
        <d v="2026-03-03T13:30:17Z"/>
        <d v="2026-03-03T13:31:53Z"/>
        <d v="2026-03-03T13:32:12Z"/>
        <d v="2026-03-03T13:34:19Z"/>
        <d v="2026-03-03T13:34:31Z"/>
        <d v="2026-03-03T13:42:35Z"/>
        <d v="2026-03-03T13:42:55Z"/>
        <d v="2026-03-03T13:45:58Z"/>
        <d v="2026-03-03T13:45:58Z"/>
        <d v="2026-03-03T13:50:23Z"/>
        <d v="2026-03-03T11:13:09Z"/>
        <d v="2026-03-03T11:13:09Z"/>
        <d v="2026-03-03T11:13:09Z"/>
        <d v="2026-03-03T11:24:28Z"/>
        <d v="2026-03-03T11:15:28Z"/>
        <d v="2026-03-03T11:26:19Z"/>
        <d v="2026-03-03T11:21:27Z"/>
        <d v="2026-03-03T11:26:19Z"/>
        <d v="2026-03-03T11:29:32Z"/>
        <d v="2026-03-03T11:23:46Z"/>
        <d v="2026-03-03T11:28:57Z"/>
        <d v="2026-03-03T11:31:25Z"/>
        <d v="2026-03-03T11:31:25Z"/>
        <d v="2026-03-03T11:34:22Z"/>
        <d v="2026-03-03T11:33:29Z"/>
        <d v="2026-03-03T11:35:50Z"/>
        <d v="2026-03-03T11:35:20Z"/>
        <d v="2026-03-03T11:38:33Z"/>
        <d v="2026-03-03T11:38:02Z"/>
        <d v="2026-03-03T11:40:35Z"/>
        <d v="2026-03-03T11:39:45Z"/>
        <d v="2026-03-03T11:42:56Z"/>
        <d v="2026-03-03T11:42:28Z"/>
        <d v="2026-03-03T11:44:09Z"/>
        <d v="2026-03-03T11:43:53Z"/>
        <d v="2026-03-03T11:45:28Z"/>
        <d v="2026-03-03T11:45:10Z"/>
        <d v="2026-03-03T11:46:34Z"/>
        <d v="2026-03-03T11:46:34Z"/>
        <d v="2026-03-03T11:47:30Z"/>
        <d v="2026-03-03T15:16:45Z"/>
        <d v="2026-03-03T15:16:45Z"/>
        <d v="2026-03-03T15:16:45Z"/>
        <d v="2026-03-03T15:24:55Z"/>
        <d v="2026-03-03T15:19:20Z"/>
        <d v="2026-03-03T15:25:54Z"/>
        <d v="2026-03-03T15:25:54Z"/>
        <d v="2026-03-03T15:21:13Z"/>
        <d v="2026-03-03T15:27:14Z"/>
        <d v="2026-03-03T15:27:52Z"/>
        <d v="2026-03-03T15:24:13Z"/>
        <d v="2026-03-03T15:28:41Z"/>
        <d v="2026-03-03T15:28:41Z"/>
        <d v="2026-03-03T15:29:55Z"/>
        <d v="2026-03-03T15:30:16Z"/>
        <d v="2026-03-03T15:32:14Z"/>
        <d v="2026-03-03T15:32:43Z"/>
        <d v="2026-03-03T15:33:38Z"/>
        <d v="2026-03-03T15:33:54Z"/>
        <d v="2026-03-03T15:39:21Z"/>
        <d v="2026-03-03T15:38:49Z"/>
        <d v="2026-03-03T15:42:46Z"/>
        <d v="2026-03-03T15:42:23Z"/>
        <d v="2026-03-03T15:44:18Z"/>
        <d v="2026-03-03T15:43:57Z"/>
        <d v="2026-03-03T15:45:13Z"/>
        <d v="2026-03-03T15:44:59Z"/>
        <d v="2026-03-03T15:46:47Z"/>
        <d v="2026-03-03T15:46:47Z"/>
        <d v="2026-03-03T15:48:13Z"/>
        <m/>
        <d v="2026-03-06T10:11:03Z"/>
        <d v="2026-03-06T10:08:35Z"/>
        <d v="2026-03-06T10:12:15Z"/>
        <d v="2026-03-06T10:09:37Z"/>
        <d v="2026-03-06T10:12:15Z"/>
        <d v="2026-03-06T10:14:07Z"/>
        <d v="2026-03-06T10:13:50Z"/>
        <d v="2026-03-06T10:10:45Z"/>
        <d v="2026-03-06T10:15:55Z"/>
        <d v="2026-03-06T10:15:55Z"/>
        <d v="2026-03-06T10:18:07Z"/>
        <d v="2026-03-06T10:17:41Z"/>
        <d v="2026-03-06T10:19:45Z"/>
        <d v="2026-03-06T10:19:29Z"/>
        <d v="2026-03-06T10:21:54Z"/>
        <d v="2026-03-06T10:21:36Z"/>
        <d v="2026-03-06T10:24:13Z"/>
        <d v="2026-03-06T10:23:43Z"/>
        <d v="2026-03-06T10:25:46Z"/>
        <d v="2026-03-06T10:26:08Z"/>
        <d v="2026-03-06T10:27:47Z"/>
        <d v="2026-03-06T10:27:31Z"/>
        <d v="2026-03-06T10:29:34Z"/>
        <d v="2026-03-06T10:29:14Z"/>
        <d v="2026-03-06T10:30:59Z"/>
        <d v="2026-03-06T10:30:58Z"/>
        <d v="2026-03-06T10:32:46Z"/>
      </sharedItems>
    </cacheField>
    <cacheField name="sentiment_score" numFmtId="0">
      <sharedItems containsString="0" containsBlank="1" containsNumber="1">
        <m/>
        <n v="-0.01"/>
        <n v="0.15"/>
        <n v="0.05"/>
        <n v="0.219999999999999"/>
        <n v="0.319999999999999"/>
        <n v="0.25"/>
        <n v="0.28"/>
        <n v="-0.0499999999999999"/>
        <n v="0.189999999999999"/>
        <n v="-0.3"/>
        <n v="0.12"/>
        <n v="-0.15"/>
        <n v="-0.0999999999999999"/>
        <n v="84.6"/>
        <n v="88.8"/>
        <n v="88.1"/>
        <n v="87.9"/>
        <n v="87.7"/>
        <n v="86.6"/>
        <n v="84.2"/>
        <n v="83.6"/>
        <n v="85.4"/>
        <n v="82.7"/>
        <n v="87.2"/>
        <n v="87.0"/>
        <n v="78.9"/>
      </sharedItems>
    </cacheField>
    <cacheField name="emotion" numFmtId="0">
      <sharedItems containsBlank="1">
        <s v="null"/>
        <s v="neutral"/>
        <s v="&quot;neutral&quot;"/>
        <m/>
        <s v="{&quot;gaze&quot;: 99.2, &quot;audio&quot;: 93.7, &quot;q_idx&quot;: 0, &quot;smile&quot;: 60.0, &quot;total&quot;: 84.6, &quot;frames&quot;: 154, &quot;emotion&quot;: 59.9, &quot;posture&quot;: 78.4}"/>
        <s v="{&quot;gaze&quot;: 100.0, &quot;audio&quot;: 96.6, &quot;q_idx&quot;: 1, &quot;smile&quot;: 60.7, &quot;total&quot;: 88.8, &quot;frames&quot;: 141, &quot;emotion&quot;: 60.6, &quot;posture&quot;: 98.0}"/>
        <s v="{&quot;gaze&quot;: 100.0, &quot;audio&quot;: 98.0, &quot;q_idx&quot;: 3, &quot;smile&quot;: 60.8, &quot;total&quot;: 88.1, &quot;frames&quot;: 180, &quot;emotion&quot;: 60.7, &quot;posture&quot;: 89.8}"/>
        <s v="{&quot;gaze&quot;: 99.5, &quot;audio&quot;: 97.4, &quot;q_idx&quot;: 4, &quot;smile&quot;: 62.0, &quot;total&quot;: 87.9, &quot;frames&quot;: 260, &quot;emotion&quot;: 61.9, &quot;posture&quot;: 89.1}"/>
        <s v="{&quot;gaze&quot;: 100.0, &quot;audio&quot;: 96.6, &quot;q_idx&quot;: 2, &quot;smile&quot;: 60.0, &quot;total&quot;: 87.7, &quot;frames&quot;: 211, &quot;emotion&quot;: 59.9, &quot;posture&quot;: 91.7}"/>
        <s v="{&quot;gaze&quot;: 100.0, &quot;audio&quot;: 97.4, &quot;q_idx&quot;: 5, &quot;smile&quot;: 60.1, &quot;total&quot;: 86.6, &quot;frames&quot;: 265, &quot;emotion&quot;: 60.0, &quot;posture&quot;: 82.5}"/>
        <s v="{&quot;gaze&quot;: 100.0, &quot;audio&quot;: 98.4, &quot;q_idx&quot;: 6, &quot;smile&quot;: 60.0, &quot;total&quot;: 84.2, &quot;frames&quot;: 301, &quot;emotion&quot;: 59.9, &quot;posture&quot;: 64.7}"/>
        <s v="{&quot;gaze&quot;: 100.0, &quot;audio&quot;: 96.9, &quot;q_idx&quot;: 7, &quot;smile&quot;: 60.0, &quot;total&quot;: 83.6, &quot;frames&quot;: 236, &quot;emotion&quot;: 59.9, &quot;posture&quot;: 63.7}"/>
        <s v="{&quot;gaze&quot;: 98.8, &quot;audio&quot;: 97.2, &quot;q_idx&quot;: 8, &quot;smile&quot;: 60.1, &quot;total&quot;: 85.4, &quot;frames&quot;: 303, &quot;emotion&quot;: 60.0, &quot;posture&quot;: 77.3}"/>
        <s v="{&quot;gaze&quot;: 94.7, &quot;audio&quot;: 98.0, &quot;q_idx&quot;: 9, &quot;smile&quot;: 60.0, &quot;total&quot;: 82.7, &quot;frames&quot;: 335, &quot;emotion&quot;: 59.9, &quot;posture&quot;: 65.6}"/>
        <s v="{&quot;gaze&quot;: 98.8, &quot;audio&quot;: 98.0, &quot;q_idx&quot;: 10, &quot;smile&quot;: 60.0, &quot;total&quot;: 85.4, &quot;frames&quot;: 276, &quot;emotion&quot;: 59.9, &quot;posture&quot;: 75.9}"/>
        <s v="{&quot;gaze&quot;: 99.7, &quot;audio&quot;: 97.6, &quot;q_idx&quot;: 11, &quot;smile&quot;: 60.0, &quot;total&quot;: 87.7, &quot;frames&quot;: 244, &quot;emotion&quot;: 59.9, &quot;posture&quot;: 90.2}"/>
        <s v="{&quot;gaze&quot;: 100.0, &quot;audio&quot;: 97.4, &quot;q_idx&quot;: 12, &quot;smile&quot;: 60.0, &quot;total&quot;: 87.2, &quot;frames&quot;: 246, &quot;emotion&quot;: 59.9, &quot;posture&quot;: 86.5}"/>
        <s v="{&quot;gaze&quot;: 100.0, &quot;audio&quot;: 98.4, &quot;q_idx&quot;: 13, &quot;smile&quot;: 60.0, &quot;total&quot;: 87.0, &quot;frames&quot;: 216, &quot;emotion&quot;: 59.9, &quot;posture&quot;: 83.3}"/>
        <s v="{&quot;gaze&quot;: 81.8, &quot;audio&quot;: 97.8, &quot;q_idx&quot;: 14, &quot;smile&quot;: 60.0, &quot;total&quot;: 78.9, &quot;frames&quot;: 281, &quot;emotion&quot;: 59.9, &quot;posture&quot;: 67.3}"/>
      </sharedItems>
    </cacheField>
    <cacheField name="question_id" numFmtId="0">
      <sharedItems containsString="0" containsBlank="1" containsNumber="1" containsInteger="1">
        <n v="17.0"/>
        <n v="18.0"/>
        <n v="19.0"/>
        <n v="20.0"/>
        <n v="21.0"/>
        <n v="22.0"/>
        <n v="23.0"/>
        <n v="24.0"/>
        <n v="25.0"/>
        <n v="26.0"/>
        <n v="27.0"/>
        <n v="28.0"/>
        <n v="29.0"/>
        <n v="30.0"/>
        <n v="31.0"/>
        <n v="32.0"/>
        <n v="33.0"/>
        <n v="34.0"/>
        <n v="124.0"/>
        <n v="125.0"/>
        <n v="126.0"/>
        <n v="127.0"/>
        <n v="128.0"/>
        <n v="129.0"/>
        <n v="130.0"/>
        <n v="131.0"/>
        <n v="132.0"/>
        <n v="133.0"/>
        <n v="134.0"/>
        <n v="135.0"/>
        <n v="136.0"/>
        <n v="137.0"/>
        <n v="138.0"/>
        <m/>
        <n v="16.0"/>
        <n v="13.0"/>
        <n v="14.0"/>
        <n v="15.0"/>
      </sharedItems>
    </cacheField>
    <cacheField name="order"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total_score" numFmtId="0">
      <sharedItems containsString="0" containsBlank="1" containsNumber="1" containsInteger="1">
        <m/>
        <n v="49.0"/>
        <n v="65.0"/>
        <n v="55.0"/>
        <n v="72.0"/>
        <n v="82.0"/>
        <n v="75.0"/>
        <n v="78.0"/>
        <n v="45.0"/>
        <n v="69.0"/>
        <n v="20.0"/>
        <n v="62.0"/>
        <n v="35.0"/>
        <n v="40.0"/>
        <n v="58.0"/>
        <n v="68.0"/>
        <n v="59.0"/>
      </sharedItems>
    </cacheField>
    <cacheField name="rubric_score" numFmtId="0">
      <sharedItems containsBlank="1">
        <s v="null"/>
        <s v="{&quot;평가영역&quot;: &quot;자기 표현 &amp; 기본 커뮤니케이션&quot;, &quot;항목별배점&quot;: {&quot;논리적 구조&quot;: 40, &quot;핵심 전달력&quot;: 40, &quot;질문 의도 파악&quot;: 20}, &quot;세부항목점수&quot;: {&quot;논리적 구조&quot;: 20, &quot;핵심 전달력&quot;: 20, &quot;질문 의도 파악&quot;: 29}}"/>
        <s v="{&quot;평가영역&quot;: &quot;직무 지식 이해도&quot;, &quot;항목별배점&quot;: {&quot;논리성&quot;: 30, &quot;용어 활용력&quot;: 20, &quot;개념의 정확성&quot;: 50}, &quot;세부항목점수&quot;: {&quot;논리성&quot;: 40, &quot;용어 활용력&quot;: 50, &quot;개념의 정확성&quot;: 60}}"/>
        <s v="{&quot;평가영역&quot;: &quot;지원 동기 &amp; 회사 적합성&quot;, &quot;항목별배점&quot;: {&quot;진정성&quot;: 30, &quot;직무 이해도&quot;: 40, &quot;내용의 구체성&quot;: 30}, &quot;세부항목점수&quot;: {&quot;진정성&quot;: 0, &quot;직무 이해도&quot;: 40, &quot;내용의 구체성&quot;: 15}}"/>
        <s v="{&quot;평가영역&quot;: &quot;직무 지식 이해도&quot;, &quot;항목별배점&quot;: {&quot;논리성&quot;: 30, &quot;용어 활용력&quot;: 20, &quot;개념의 정확성&quot;: 50}, &quot;세부항목점수&quot;: {&quot;논리성&quot;: 25, &quot;용어 활용력&quot;: 30, &quot;개념의 정확성&quot;: 40}}"/>
        <s v="{&quot;평가영역&quot;: &quot;직무 경험 &amp; 문제 해결&quot;, &quot;항목별배점&quot;: {&quot;문제 해결력&quot;: 40, &quot;성과 구체성&quot;: 30, &quot;STAR 구조 적합성&quot;: 30}, &quot;세부항목점수&quot;: {&quot;문제 해결력&quot;: 55, &quot;성과 구체성&quot;: 60, &quot;STAR 구조 적합성&quot;: 50}}"/>
        <s v="{&quot;평가영역&quot;: &quot;자기 표현 &amp; 기본 커뮤니케이션&quot;, &quot;항목별배점&quot;: {&quot;논리적 구조&quot;: 40, &quot;핵심 전달력&quot;: 40, &quot;질문 의도 파악&quot;: 20}, &quot;세부항목점수&quot;: {&quot;논리적 구조&quot;: 30, &quot;핵심 전달력&quot;: 35, &quot;질문 의도 파악&quot;: 0}}"/>
        <s v="{&quot;평가영역&quot;: &quot;지원 동기 &amp; 회사 적합성&quot;, &quot;항목별배점&quot;: {&quot;진정성&quot;: 30, &quot;직무 이해도&quot;: 40, &quot;내용의 구체성&quot;: 30}, &quot;세부항목점수&quot;: {&quot;진정성&quot;: 70, &quot;직무 이해도&quot;: 80, &quot;내용의 구체성&quot;: 65}}"/>
        <s v="{&quot;평가영역&quot;: &quot;직무 지식 이해도&quot;, &quot;항목별배점&quot;: {&quot;논리성&quot;: 30, &quot;용어 활용력&quot;: 20, &quot;개념의 정확성&quot;: 50}, &quot;세부항목점수&quot;: {&quot;논리성&quot;: 75, &quot;용어 활용력&quot;: 85, &quot;개념의 정확성&quot;: 90}}"/>
        <s v="{&quot;평가영역&quot;: &quot;직무 지식 이해도&quot;, &quot;항목별배점&quot;: {&quot;논리성&quot;: 30, &quot;용어 활용력&quot;: 20, &quot;개념의 정확성&quot;: 50}, &quot;세부항목점수&quot;: {&quot;논리성&quot;: 65, &quot;용어 활용력&quot;: 70, &quot;개념의 정확성&quot;: 80}}"/>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s v="{&quot;평가영역&quot;: &quot;직무 경험 &amp; 문제 해결&quot;, &quot;항목별배점&quot;: {&quot;문제 해결력&quot;: 40, &quot;성과 구체성&quot;: 30, &quot;STAR 구조 적합성&quot;: 30}, &quot;세부항목점수&quot;: {&quot;문제 해결력&quot;: 80, &quot;성과 구체성&quot;: 80, &quot;STAR 구조 적합성&quot;: 85}}"/>
        <s v="{&quot;평가영역&quot;: &quot;직무 경험 &amp; 문제 해결&quot;, &quot;항목별배점&quot;: {&quot;문제 해결력&quot;: 40, &quot;성과 구체성&quot;: 30, &quot;STAR 구조 적합성&quot;: 30}, &quot;세부항목점수&quot;: {&quot;문제 해결력&quot;: 80, &quot;성과 구체성&quot;: 72, &quot;STAR 구조 적합성&quot;: 7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20}}"/>
        <s v="{&quot;평가영역&quot;: &quot;인성 &amp; 성장 가능성&quot;, &quot;항목별배점&quot;: {&quot;학습 의지&quot;: 30, &quot;협업 및 소통&quot;: 30, &quot;책임감/주도성&quot;: 40}, &quot;세부항목점수&quot;: {&quot;학습 의지&quot;: 70, &quot;협업 및 소통&quot;: 75, &quot;책임감/주도성&quot;: 80}}"/>
        <s v="{&quot;평가영역&quot;: &quot;인성 &amp; 성장 가능성&quot;, &quot;항목별배점&quot;: {&quot;학습 의지&quot;: 30, &quot;협업 및 소통&quot;: 30, &quot;책임감/주도성&quot;: 40}, &quot;세부항목점수&quot;: {&quot;학습 의지&quot;: 35, &quot;협업 및 소통&quot;: 30, &quot;책임감/주도성&quot;: 35}}"/>
        <s v="{&quot;평가영역&quot;: &quot;인성 &amp; 성장 가능성&quot;, &quot;항목별배점&quot;: {&quot;학습 의지&quot;: 30, &quot;협업 및 소통&quot;: 30, &quot;책임감/주도성&quot;: 40}, &quot;세부항목점수&quot;: {&quot;학습 의지&quot;: 23, &quot;협업 및 소통&quot;: 30, &quot;책임감/주도성&quot;: 35}}"/>
        <s v="{&quot;평가영역&quot;: &quot;인성 &amp; 성장 가능성&quot;, &quot;항목별배점&quot;: {&quot;학습 의지&quot;: 30, &quot;협업 및 소통&quot;: 30, &quot;책임감/주도성&quot;: 40}, &quot;세부항목점수&quot;: {&quot;학습 의지&quot;: 30, &quot;협업 및 소통&quot;: 25, &quot;책임감/주도성&quot;: 30}}"/>
        <s v="{&quot;평가영역&quot;: &quot;인성 &amp; 성장 가능성&quot;, &quot;항목별배점&quot;: {&quot;학습 의지&quot;: 30, &quot;협업 및 소통&quot;: 30, &quot;책임감/주도성&quot;: 40}, &quot;세부항목점수&quot;: {&quot;학습 의지&quot;: 65, &quot;협업 및 소통&quot;: 70, &quot;책임감/주도성&quot;: 80}}"/>
        <s v="{&quot;평가영역&quot;: &quot;인성 &amp; 성장 가능성&quot;, &quot;항목별배점&quot;: {&quot;학습 의지&quot;: 30, &quot;협업 및 소통&quot;: 30, &quot;책임감/주도성&quot;: 40}, &quot;세부항목점수&quot;: {&quot;학습 의지&quot;: 80, &quot;협업 및 소통&quot;: 75, &quot;책임감/주도성&quot;: 70}}"/>
        <s v="{&quot;평가영역&quot;: &quot;자기 표현 &amp; 기본 커뮤니케이션&quot;, &quot;항목별배점&quot;: {&quot;논리적 구조&quot;: 40, &quot;핵심 전달력&quot;: 40, &quot;질문 의도 파악&quot;: 20}, &quot;세부항목점수&quot;: {&quot;논리적 구조&quot;: 70, &quot;핵심 전달력&quot;: 65, &quot;질문 의도 파악&quot;: 64}}"/>
        <s v="{&quot;평가영역&quot;: &quot;자기 표현 &amp; 기본 커뮤니케이션&quot;, &quot;항목별배점&quot;: {&quot;논리적 구조&quot;: 40, &quot;핵심 전달력&quot;: 40, &quot;질문 의도 파악&quot;: 20}, &quot;세부항목점수&quot;: {&quot;논리적 구조&quot;: 50, &quot;핵심 전달력&quot;: 55, &quot;질문 의도 파악&quot;: 60}}"/>
        <s v="{&quot;평가영역&quot;: &quot;직무 지식 이해도&quot;, &quot;항목별배점&quot;: {&quot;논리성&quot;: 30, &quot;용어 활용력&quot;: 20, &quot;개념의 정확성&quot;: 50}, &quot;세부항목점수&quot;: {&quot;논리성&quot;: 10, &quot;용어 활용력&quot;: 0, &quot;개념의 정확성&quot;: 10}}"/>
        <s v="{&quot;평가영역&quot;: &quot;지원 동기 &amp; 회사 적합성&quot;, &quot;항목별배점&quot;: {&quot;진정성&quot;: 30, &quot;직무 이해도&quot;: 40, &quot;내용의 구체성&quot;: 30}, &quot;세부항목점수&quot;: {&quot;진정성&quot;: 52, &quot;직무 이해도&quot;: 40, &quot;내용의 구체성&quot;: 30}}"/>
        <s v="{&quot;평가영역&quot;: &quot;직무 경험 &amp; 문제 해결&quot;, &quot;항목별배점&quot;: {&quot;문제 해결력&quot;: 40, &quot;성과 구체성&quot;: 30, &quot;STAR 구조 적합성&quot;: 30}, &quot;세부항목점수&quot;: {&quot;문제 해결력&quot;: 35, &quot;성과 구체성&quot;: 55, &quot;STAR 구조 적합성&quot;: 40}}"/>
        <s v="{&quot;평가영역&quot;: &quot;직무 지식 이해도&quot;, &quot;항목별배점&quot;: {&quot;논리성&quot;: 30, &quot;용어 활용력&quot;: 20, &quot;개념의 정확성&quot;: 50}, &quot;세부항목점수&quot;: {&quot;논리성&quot;: 30, &quot;용어 활용력&quot;: 20, &quot;개념의 정확성&quot;: 4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15, &quot;직무 경험 &amp; 문제 해결&quot;: 20}}"/>
        <s v="{&quot;평가영역&quot;: &quot;직무 경험 &amp; 문제 해결&quot;, &quot;항목별배점&quot;: {&quot;문제 해결력&quot;: 40, &quot;성과 구체성&quot;: 30, &quot;STAR 구조 적합성&quot;: 30}, &quot;세부항목점수&quot;: {&quot;문제 해결력&quot;: 10, &quot;성과 구체성&quot;: 0, &quot;STAR 구조 적합성&quot;: 10}}"/>
        <s v="{&quot;평가영역&quot;: &quot;직무 경험 &amp; 문제 해결&quot;, &quot;항목별배점&quot;: {&quot;문제 해결력&quot;: 40, &quot;성과 구체성&quot;: 30, &quot;STAR 구조 적합성&quot;: 30}, &quot;세부항목점수&quot;: {&quot;문제 해결력&quot;: 20, &quot;성과 구체성&quot;: 5, &quot;STAR 구조 적합성&quot;: 20}}"/>
        <s v="{&quot;평가영역&quot;: &quot;인성 &amp; 성장 가능성&quot;, &quot;항목별배점&quot;: {&quot;학습 의지&quot;: 30, &quot;협업 및 소통&quot;: 30, &quot;책임감/주도성&quot;: 40}, &quot;세부항목점수&quot;: {&quot;학습 의지&quot;: 31, &quot;협업 및 소통&quot;: 25, &quot;책임감/주도성&quot;: 4}}"/>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s v="{&quot;평가영역&quot;: &quot;인성 &amp; 성장 가능성&quot;, &quot;항목별배점&quot;: {&quot;학습 의지&quot;: 30, &quot;협업 및 소통&quot;: 30, &quot;책임감/주도성&quot;: 40}, &quot;세부항목점수&quot;: {&quot;학습 의지&quot;: 25, &quot;협업 및 소통&quot;: 20, &quot;책임감/주도성&quot;: 20}}"/>
        <s v="{&quot;평가영역&quot;: &quot;인성 &amp; 성장 가능성&quot;, &quot;항목별배점&quot;: {&quot;학습 의지&quot;: 30, &quot;협업 및 소통&quot;: 30, &quot;책임감/주도성&quot;: 40}, &quot;세부항목점수&quot;: {&quot;학습 의지&quot;: 0, &quot;협업 및 소통&quot;: 15, &quot;책임감/주도성&quot;: 20}}"/>
        <s v="{&quot;평가영역&quot;: &quot;자기 표현 &amp; 기본 커뮤니케이션&quot;, &quot;항목별배점&quot;: {&quot;논리적 구조&quot;: 40, &quot;핵심 전달력&quot;: 40, &quot;질문 의도 파악&quot;: 20}, &quot;세부항목점수&quot;: {&quot;논리적 구조&quot;: 40, &quot;핵심 전달력&quot;: 40, &quot;질문 의도 파악&quot;: 0}}"/>
        <m/>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0}}"/>
        <s v="{&quot;평가영역&quot;: &quot;지원 동기 &amp; 회사 적합성&quot;, &quot;항목별배점&quot;: {&quot;진정성&quot;: 30, &quot;직무 이해도&quot;: 40, &quot;내용의 구체성&quot;: 30}, &quot;세부항목점수&quot;: {&quot;진정성&quot;: 13, &quot;직무 이해도&quot;: 40, &quot;내용의 구체성&quot;: 25}}"/>
        <s v="{&quot;평가영역&quot;: &quot;직무 지식 이해도&quot;, &quot;항목별배점&quot;: {&quot;논리성&quot;: 30, &quot;용어 활용력&quot;: 20, &quot;개념의 정확성&quot;: 50}, &quot;세부항목점수&quot;: {&quot;논리성&quot;: 40, &quot;용어 활용력&quot;: 30, &quot;개념의 정확성&quot;: 55}}"/>
        <s v="{&quot;평가영역&quot;: &quot;직무 경험 &amp; 문제 해결&quot;, &quot;항목별배점&quot;: {&quot;문제 해결력&quot;: 40, &quot;성과 구체성&quot;: 30, &quot;STAR 구조 적합성&quot;: 30}, &quot;세부항목점수&quot;: {&quot;문제 해결력&quot;: 15, &quot;성과 구체성&quot;: 0, &quot;STAR 구조 적합성&quot;: 30}}"/>
        <s v="{&quot;평가영역&quot;: &quot;직무 지식 이해도&quot;, &quot;항목별배점&quot;: {&quot;논리성&quot;: 30, &quot;용어 활용력&quot;: 20, &quot;개념의 정확성&quot;: 50}, &quot;세부항목점수&quot;: {&quot;논리성&quot;: 15, &quot;용어 활용력&quot;: 0, &quot;개념의 정확성&quot;: 30}}"/>
        <s v="{&quot;평가영역&quot;: &quot;직무 경험 &amp; 문제 해결&quot;, &quot;항목별배점&quot;: {&quot;문제 해결력&quot;: 40, &quot;성과 구체성&quot;: 30, &quot;STAR 구조 적합성&quot;: 30}, &quot;세부항목점수&quot;: {&quot;문제 해결력&quot;: 65, &quot;성과 구체성&quot;: 55, &quot;STAR 구조 적합성&quot;: 60}}"/>
        <s v="{&quot;평가영역&quot;: &quot;인성 &amp; 성장 가능성&quot;, &quot;항목별배점&quot;: {&quot;학습 의지&quot;: 30, &quot;협업 및 소통&quot;: 30, &quot;책임감/주도성&quot;: 40}, &quot;세부항목점수&quot;: {&quot;학습 의지&quot;: 35, &quot;협업 및 소통&quot;: 25, &quot;책임감/주도성&quot;: 40}}"/>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s v="{&quot;평가영역&quot;: &quot;인성 &amp; 성장 가능성&quot;, &quot;항목별배점&quot;: {&quot;학습 의지&quot;: 30, &quot;협업 및 소통&quot;: 30, &quot;책임감/주도성&quot;: 40}, &quot;세부항목점수&quot;: {&quot;학습 의지&quot;: 35, &quot;협업 및 소통&quot;: 25, &quot;책임감/주도성&quot;: 35}}"/>
        <s v="{&quot;평가영역&quot;: &quot;인성 &amp; 성장 가능성&quot;, &quot;항목별배점&quot;: {&quot;학습 의지&quot;: 30, &quot;협업 및 소통&quot;: 30, &quot;책임감/주도성&quot;: 40}, &quot;세부항목점수&quot;: {&quot;학습 의지&quot;: 40, &quot;협업 및 소통&quot;: 30, &quot;책임감/주도성&quot;: 35}}"/>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5}}"/>
      </sharedItems>
    </cacheField>
    <cacheField name="정확도" numFmtId="0">
      <sharedItems>
        <s v="성공"/>
        <s v="실패"/>
      </sharedItems>
    </cacheField>
    <cacheField name="stt" numFmtId="0">
      <sharedItems>
        <s v="N"/>
        <s v="성공"/>
        <s v="실패"/>
      </sharedItems>
    </cacheField>
    <cacheField name="점수계산" numFmtId="0">
      <sharedItems>
        <s v="N"/>
        <s v="성공"/>
        <s v="실패"/>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결과" cacheId="0" dataCaption="" compact="0" compactData="0">
  <location ref="A3:B6"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interview_id" compact="0" outline="0" multipleItemSelectionAllowed="1" showAll="0">
      <items>
        <item x="0"/>
        <item x="1"/>
        <item x="2"/>
        <item x="3"/>
        <item x="4"/>
        <item t="default"/>
      </items>
    </pivotField>
    <pivotField name="speaker" compact="0" outline="0" multipleItemSelectionAllowed="1" showAll="0">
      <items>
        <item x="0"/>
        <item x="1"/>
        <item x="2"/>
        <item x="3"/>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timestamp" compact="0" numFmtId="4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sentimen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emotion" compact="0" outline="0" multipleItemSelectionAllowed="1" showAll="0">
      <items>
        <item x="0"/>
        <item x="1"/>
        <item x="2"/>
        <item x="3"/>
        <item x="4"/>
        <item x="5"/>
        <item x="6"/>
        <item x="7"/>
        <item x="8"/>
        <item x="9"/>
        <item x="10"/>
        <item x="11"/>
        <item x="12"/>
        <item x="13"/>
        <item x="14"/>
        <item x="15"/>
        <item x="16"/>
        <item x="17"/>
        <item x="18"/>
        <item t="default"/>
      </items>
    </pivotField>
    <pivotField name="ques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otal_score" compact="0" outline="0" multipleItemSelectionAllowed="1" showAll="0">
      <items>
        <item x="0"/>
        <item x="1"/>
        <item x="2"/>
        <item x="3"/>
        <item x="4"/>
        <item x="5"/>
        <item x="6"/>
        <item x="7"/>
        <item x="8"/>
        <item x="9"/>
        <item x="10"/>
        <item x="11"/>
        <item x="12"/>
        <item x="13"/>
        <item x="14"/>
        <item x="15"/>
        <item x="16"/>
        <item t="default"/>
      </items>
    </pivotField>
    <pivotField name="rubric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정확도" axis="axisRow" dataField="1" compact="0" outline="0" multipleItemSelectionAllowed="1" showAll="0" sortType="ascending">
      <items>
        <item x="0"/>
        <item x="1"/>
        <item t="default"/>
      </items>
    </pivotField>
    <pivotField name="stt" compact="0" outline="0" multipleItemSelectionAllowed="1" showAll="0">
      <items>
        <item x="0"/>
        <item x="1"/>
        <item x="2"/>
        <item t="default"/>
      </items>
    </pivotField>
    <pivotField name="점수계산" compact="0" outline="0" multipleItemSelectionAllowed="1" showAll="0">
      <items>
        <item x="0"/>
        <item x="1"/>
        <item x="2"/>
        <item t="default"/>
      </items>
    </pivotField>
  </pivotFields>
  <rowFields>
    <field x="11"/>
  </rowFields>
  <dataFields>
    <dataField name="개수 : 질문생성/분석" fld="11" subtotal="count" baseField="0"/>
  </dataFields>
</pivotTableDefinition>
</file>

<file path=xl/pivotTables/pivotTable2.xml><?xml version="1.0" encoding="utf-8"?>
<pivotTableDefinition xmlns="http://schemas.openxmlformats.org/spreadsheetml/2006/main" name="결과 2" cacheId="0" dataCaption="" compact="0" compactData="0">
  <location ref="A9:B13"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interview_id" compact="0" outline="0" multipleItemSelectionAllowed="1" showAll="0">
      <items>
        <item x="0"/>
        <item x="1"/>
        <item x="2"/>
        <item x="3"/>
        <item x="4"/>
        <item t="default"/>
      </items>
    </pivotField>
    <pivotField name="speaker" compact="0" outline="0" multipleItemSelectionAllowed="1" showAll="0">
      <items>
        <item x="0"/>
        <item x="1"/>
        <item x="2"/>
        <item x="3"/>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timestamp" compact="0" numFmtId="4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sentimen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emotion" compact="0" outline="0" multipleItemSelectionAllowed="1" showAll="0">
      <items>
        <item x="0"/>
        <item x="1"/>
        <item x="2"/>
        <item x="3"/>
        <item x="4"/>
        <item x="5"/>
        <item x="6"/>
        <item x="7"/>
        <item x="8"/>
        <item x="9"/>
        <item x="10"/>
        <item x="11"/>
        <item x="12"/>
        <item x="13"/>
        <item x="14"/>
        <item x="15"/>
        <item x="16"/>
        <item x="17"/>
        <item x="18"/>
        <item t="default"/>
      </items>
    </pivotField>
    <pivotField name="ques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otal_score" compact="0" outline="0" multipleItemSelectionAllowed="1" showAll="0">
      <items>
        <item x="0"/>
        <item x="1"/>
        <item x="2"/>
        <item x="3"/>
        <item x="4"/>
        <item x="5"/>
        <item x="6"/>
        <item x="7"/>
        <item x="8"/>
        <item x="9"/>
        <item x="10"/>
        <item x="11"/>
        <item x="12"/>
        <item x="13"/>
        <item x="14"/>
        <item x="15"/>
        <item x="16"/>
        <item t="default"/>
      </items>
    </pivotField>
    <pivotField name="rubric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정확도" compact="0" outline="0" multipleItemSelectionAllowed="1" showAll="0">
      <items>
        <item x="0"/>
        <item x="1"/>
        <item t="default"/>
      </items>
    </pivotField>
    <pivotField name="stt" dataField="1" compact="0" outline="0" multipleItemSelectionAllowed="1" showAll="0">
      <items>
        <item x="0"/>
        <item x="1"/>
        <item x="2"/>
        <item t="default"/>
      </items>
    </pivotField>
    <pivotField name="점수계산" axis="axisRow" compact="0" outline="0" multipleItemSelectionAllowed="1" showAll="0" sortType="ascending">
      <items>
        <item x="1"/>
        <item x="2"/>
        <item x="0"/>
        <item t="default"/>
      </items>
    </pivotField>
  </pivotFields>
  <rowFields>
    <field x="13"/>
  </rowFields>
  <dataFields>
    <dataField name="개수 : stt" fld="12" subtotal="count" baseField="0"/>
  </dataFields>
</pivotTableDefinition>
</file>

<file path=xl/pivotTables/pivotTable3.xml><?xml version="1.0" encoding="utf-8"?>
<pivotTableDefinition xmlns="http://schemas.openxmlformats.org/spreadsheetml/2006/main" name="결과 3" cacheId="0" dataCaption="" compact="0" compactData="0">
  <location ref="A16:B20"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interview_id" compact="0" outline="0" multipleItemSelectionAllowed="1" showAll="0">
      <items>
        <item x="0"/>
        <item x="1"/>
        <item x="2"/>
        <item x="3"/>
        <item x="4"/>
        <item t="default"/>
      </items>
    </pivotField>
    <pivotField name="speaker" compact="0" outline="0" multipleItemSelectionAllowed="1" showAll="0">
      <items>
        <item x="0"/>
        <item x="1"/>
        <item x="2"/>
        <item x="3"/>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timestamp" compact="0" numFmtId="4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sentiment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emotion" compact="0" outline="0" multipleItemSelectionAllowed="1" showAll="0">
      <items>
        <item x="0"/>
        <item x="1"/>
        <item x="2"/>
        <item x="3"/>
        <item x="4"/>
        <item x="5"/>
        <item x="6"/>
        <item x="7"/>
        <item x="8"/>
        <item x="9"/>
        <item x="10"/>
        <item x="11"/>
        <item x="12"/>
        <item x="13"/>
        <item x="14"/>
        <item x="15"/>
        <item x="16"/>
        <item x="17"/>
        <item x="18"/>
        <item t="default"/>
      </items>
    </pivotField>
    <pivotField name="ques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otal_score" compact="0" outline="0" multipleItemSelectionAllowed="1" showAll="0">
      <items>
        <item x="0"/>
        <item x="1"/>
        <item x="2"/>
        <item x="3"/>
        <item x="4"/>
        <item x="5"/>
        <item x="6"/>
        <item x="7"/>
        <item x="8"/>
        <item x="9"/>
        <item x="10"/>
        <item x="11"/>
        <item x="12"/>
        <item x="13"/>
        <item x="14"/>
        <item x="15"/>
        <item x="16"/>
        <item t="default"/>
      </items>
    </pivotField>
    <pivotField name="rubric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정확도" compact="0" outline="0" multipleItemSelectionAllowed="1" showAll="0">
      <items>
        <item x="0"/>
        <item x="1"/>
        <item t="default"/>
      </items>
    </pivotField>
    <pivotField name="stt" compact="0" outline="0" multipleItemSelectionAllowed="1" showAll="0">
      <items>
        <item x="0"/>
        <item x="1"/>
        <item x="2"/>
        <item t="default"/>
      </items>
    </pivotField>
    <pivotField name="점수계산" axis="axisRow" dataField="1" compact="0" outline="0" multipleItemSelectionAllowed="1" showAll="0" sortType="ascending">
      <items>
        <item x="1"/>
        <item x="2"/>
        <item x="0"/>
        <item t="default"/>
      </items>
    </pivotField>
  </pivotFields>
  <rowFields>
    <field x="13"/>
  </rowFields>
  <dataFields>
    <dataField name="개수 : 점수계산" fld="1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26.43"/>
    <col customWidth="1" min="5" max="9" width="9.0"/>
    <col customWidth="1" min="10" max="26" width="8.71"/>
  </cols>
  <sheetData>
    <row r="1" ht="16.5" customHeight="1">
      <c r="A1" s="1" t="s">
        <v>0</v>
      </c>
      <c r="B1" s="1" t="s">
        <v>1</v>
      </c>
      <c r="C1" s="1" t="s">
        <v>2</v>
      </c>
      <c r="D1" s="1" t="s">
        <v>3</v>
      </c>
      <c r="E1" s="1" t="s">
        <v>4</v>
      </c>
      <c r="F1" s="1" t="s">
        <v>5</v>
      </c>
      <c r="G1" s="1" t="s">
        <v>6</v>
      </c>
      <c r="H1" s="1" t="s">
        <v>7</v>
      </c>
      <c r="I1" s="1" t="s">
        <v>8</v>
      </c>
      <c r="J1" s="1" t="s">
        <v>9</v>
      </c>
      <c r="K1" s="1" t="s">
        <v>10</v>
      </c>
      <c r="L1" s="2" t="s">
        <v>11</v>
      </c>
      <c r="M1" s="2" t="s">
        <v>12</v>
      </c>
      <c r="N1" s="2" t="s">
        <v>13</v>
      </c>
    </row>
    <row r="2" ht="16.5" customHeight="1">
      <c r="A2" s="1">
        <v>1.0</v>
      </c>
      <c r="B2" s="1">
        <v>6.0</v>
      </c>
      <c r="C2" s="1" t="s">
        <v>14</v>
      </c>
      <c r="D2" s="1" t="s">
        <v>15</v>
      </c>
      <c r="E2" s="3">
        <v>46084.50022991898</v>
      </c>
      <c r="G2" s="1" t="s">
        <v>16</v>
      </c>
      <c r="H2" s="1">
        <v>17.0</v>
      </c>
      <c r="I2" s="1">
        <v>1.0</v>
      </c>
      <c r="K2" s="1" t="s">
        <v>16</v>
      </c>
      <c r="L2" s="1" t="s">
        <v>17</v>
      </c>
      <c r="M2" s="1" t="s">
        <v>18</v>
      </c>
      <c r="N2" s="1" t="s">
        <v>18</v>
      </c>
    </row>
    <row r="3" ht="16.5" customHeight="1">
      <c r="A3" s="1">
        <v>2.0</v>
      </c>
      <c r="B3" s="1">
        <v>6.0</v>
      </c>
      <c r="C3" s="1" t="s">
        <v>14</v>
      </c>
      <c r="D3" s="1" t="s">
        <v>19</v>
      </c>
      <c r="E3" s="3">
        <v>46084.50023010417</v>
      </c>
      <c r="G3" s="1" t="s">
        <v>16</v>
      </c>
      <c r="H3" s="1">
        <v>18.0</v>
      </c>
      <c r="I3" s="1">
        <v>2.0</v>
      </c>
      <c r="K3" s="1" t="s">
        <v>16</v>
      </c>
      <c r="L3" s="1" t="s">
        <v>17</v>
      </c>
      <c r="M3" s="1" t="s">
        <v>18</v>
      </c>
      <c r="N3" s="1" t="s">
        <v>18</v>
      </c>
    </row>
    <row r="4" ht="16.5" customHeight="1">
      <c r="A4" s="1">
        <v>3.0</v>
      </c>
      <c r="B4" s="1">
        <v>6.0</v>
      </c>
      <c r="C4" s="1" t="s">
        <v>14</v>
      </c>
      <c r="D4" s="1" t="s">
        <v>20</v>
      </c>
      <c r="E4" s="3">
        <v>46084.50023039352</v>
      </c>
      <c r="G4" s="1" t="s">
        <v>16</v>
      </c>
      <c r="H4" s="1">
        <v>19.0</v>
      </c>
      <c r="I4" s="1">
        <v>3.0</v>
      </c>
      <c r="K4" s="1" t="s">
        <v>16</v>
      </c>
      <c r="L4" s="1" t="s">
        <v>17</v>
      </c>
      <c r="M4" s="1" t="s">
        <v>18</v>
      </c>
      <c r="N4" s="1" t="s">
        <v>18</v>
      </c>
    </row>
    <row r="5" ht="16.5" customHeight="1">
      <c r="A5" s="1">
        <v>4.0</v>
      </c>
      <c r="B5" s="1">
        <v>6.0</v>
      </c>
      <c r="C5" s="1" t="s">
        <v>14</v>
      </c>
      <c r="D5" s="1" t="s">
        <v>21</v>
      </c>
      <c r="E5" s="3">
        <v>46084.50346905093</v>
      </c>
      <c r="G5" s="1" t="s">
        <v>16</v>
      </c>
      <c r="H5" s="1">
        <v>20.0</v>
      </c>
      <c r="I5" s="1">
        <v>4.0</v>
      </c>
      <c r="K5" s="1" t="s">
        <v>16</v>
      </c>
      <c r="L5" s="1" t="s">
        <v>17</v>
      </c>
      <c r="M5" s="1" t="s">
        <v>18</v>
      </c>
      <c r="N5" s="1" t="s">
        <v>18</v>
      </c>
    </row>
    <row r="6" ht="16.5" customHeight="1">
      <c r="A6" s="1">
        <v>5.0</v>
      </c>
      <c r="B6" s="1">
        <v>6.0</v>
      </c>
      <c r="C6" s="1" t="s">
        <v>22</v>
      </c>
      <c r="D6" s="1" t="s">
        <v>23</v>
      </c>
      <c r="E6" s="3">
        <v>46084.500943541665</v>
      </c>
      <c r="F6" s="1">
        <v>-0.01</v>
      </c>
      <c r="G6" s="1" t="s">
        <v>24</v>
      </c>
      <c r="H6" s="1">
        <v>17.0</v>
      </c>
      <c r="I6" s="1">
        <v>4.0</v>
      </c>
      <c r="J6" s="1">
        <v>49.0</v>
      </c>
      <c r="K6" s="1" t="s">
        <v>25</v>
      </c>
      <c r="L6" s="1" t="s">
        <v>17</v>
      </c>
      <c r="M6" s="1" t="s">
        <v>17</v>
      </c>
      <c r="N6" s="1" t="s">
        <v>17</v>
      </c>
    </row>
    <row r="7" ht="16.5" customHeight="1">
      <c r="A7" s="1">
        <v>6.0</v>
      </c>
      <c r="B7" s="1">
        <v>6.0</v>
      </c>
      <c r="C7" s="1" t="s">
        <v>14</v>
      </c>
      <c r="D7" s="1" t="s">
        <v>26</v>
      </c>
      <c r="E7" s="3">
        <v>46084.55216413194</v>
      </c>
      <c r="G7" s="1" t="s">
        <v>16</v>
      </c>
      <c r="H7" s="1">
        <v>21.0</v>
      </c>
      <c r="I7" s="1">
        <v>5.0</v>
      </c>
      <c r="K7" s="1" t="s">
        <v>16</v>
      </c>
      <c r="L7" s="1" t="s">
        <v>17</v>
      </c>
      <c r="M7" s="1" t="s">
        <v>18</v>
      </c>
      <c r="N7" s="1" t="s">
        <v>18</v>
      </c>
    </row>
    <row r="8" ht="16.5" customHeight="1">
      <c r="A8" s="1">
        <v>7.0</v>
      </c>
      <c r="B8" s="1">
        <v>6.0</v>
      </c>
      <c r="C8" s="1" t="s">
        <v>22</v>
      </c>
      <c r="D8" s="1" t="s">
        <v>27</v>
      </c>
      <c r="E8" s="3">
        <v>46084.552163148146</v>
      </c>
      <c r="F8" s="1">
        <v>0.15</v>
      </c>
      <c r="G8" s="1" t="s">
        <v>24</v>
      </c>
      <c r="H8" s="1">
        <v>20.0</v>
      </c>
      <c r="I8" s="1">
        <v>5.0</v>
      </c>
      <c r="J8" s="1">
        <v>65.0</v>
      </c>
      <c r="K8" s="1" t="s">
        <v>28</v>
      </c>
      <c r="L8" s="1" t="s">
        <v>17</v>
      </c>
      <c r="M8" s="1" t="s">
        <v>17</v>
      </c>
      <c r="N8" s="1" t="s">
        <v>17</v>
      </c>
    </row>
    <row r="9" ht="16.5" customHeight="1">
      <c r="A9" s="1">
        <v>8.0</v>
      </c>
      <c r="B9" s="1">
        <v>6.0</v>
      </c>
      <c r="C9" s="1" t="s">
        <v>22</v>
      </c>
      <c r="D9" s="1" t="s">
        <v>29</v>
      </c>
      <c r="E9" s="3">
        <v>46084.50182732639</v>
      </c>
      <c r="F9" s="1">
        <v>0.05</v>
      </c>
      <c r="G9" s="1" t="s">
        <v>24</v>
      </c>
      <c r="H9" s="1">
        <v>18.0</v>
      </c>
      <c r="I9" s="1">
        <v>5.0</v>
      </c>
      <c r="J9" s="1">
        <v>55.0</v>
      </c>
      <c r="K9" s="1" t="s">
        <v>30</v>
      </c>
      <c r="L9" s="1" t="s">
        <v>17</v>
      </c>
      <c r="M9" s="1" t="s">
        <v>17</v>
      </c>
      <c r="N9" s="1" t="s">
        <v>17</v>
      </c>
    </row>
    <row r="10" ht="16.5" customHeight="1">
      <c r="A10" s="1">
        <v>9.0</v>
      </c>
      <c r="B10" s="1">
        <v>6.0</v>
      </c>
      <c r="C10" s="1" t="s">
        <v>14</v>
      </c>
      <c r="D10" s="1" t="s">
        <v>31</v>
      </c>
      <c r="E10" s="3">
        <v>46084.554083194445</v>
      </c>
      <c r="G10" s="1" t="s">
        <v>16</v>
      </c>
      <c r="H10" s="1">
        <v>22.0</v>
      </c>
      <c r="I10" s="1">
        <v>6.0</v>
      </c>
      <c r="K10" s="1" t="s">
        <v>16</v>
      </c>
      <c r="L10" s="1" t="s">
        <v>17</v>
      </c>
      <c r="M10" s="1" t="s">
        <v>18</v>
      </c>
      <c r="N10" s="1" t="s">
        <v>18</v>
      </c>
    </row>
    <row r="11" ht="16.5" customHeight="1">
      <c r="A11" s="1">
        <v>10.0</v>
      </c>
      <c r="B11" s="1">
        <v>6.0</v>
      </c>
      <c r="C11" s="1" t="s">
        <v>22</v>
      </c>
      <c r="D11" s="1" t="s">
        <v>32</v>
      </c>
      <c r="E11" s="3">
        <v>46084.50324761574</v>
      </c>
      <c r="F11" s="1">
        <v>0.15</v>
      </c>
      <c r="G11" s="1" t="s">
        <v>24</v>
      </c>
      <c r="H11" s="1">
        <v>19.0</v>
      </c>
      <c r="I11" s="1">
        <v>6.0</v>
      </c>
      <c r="J11" s="1">
        <v>65.0</v>
      </c>
      <c r="K11" s="1" t="s">
        <v>33</v>
      </c>
      <c r="L11" s="1" t="s">
        <v>17</v>
      </c>
      <c r="M11" s="1" t="s">
        <v>34</v>
      </c>
      <c r="N11" s="1" t="s">
        <v>17</v>
      </c>
    </row>
    <row r="12" ht="16.5" customHeight="1">
      <c r="A12" s="1">
        <v>11.0</v>
      </c>
      <c r="B12" s="1">
        <v>6.0</v>
      </c>
      <c r="C12" s="1" t="s">
        <v>22</v>
      </c>
      <c r="D12" s="1" t="s">
        <v>35</v>
      </c>
      <c r="E12" s="3">
        <v>46084.55380693287</v>
      </c>
      <c r="F12" s="1">
        <v>0.15</v>
      </c>
      <c r="G12" s="1" t="s">
        <v>24</v>
      </c>
      <c r="H12" s="1">
        <v>21.0</v>
      </c>
      <c r="I12" s="1">
        <v>6.0</v>
      </c>
      <c r="J12" s="1">
        <v>65.0</v>
      </c>
      <c r="K12" s="1" t="s">
        <v>36</v>
      </c>
      <c r="L12" s="1" t="s">
        <v>17</v>
      </c>
      <c r="M12" s="1" t="s">
        <v>34</v>
      </c>
      <c r="N12" s="1" t="s">
        <v>17</v>
      </c>
    </row>
    <row r="13" ht="16.5" customHeight="1">
      <c r="A13" s="1">
        <v>12.0</v>
      </c>
      <c r="B13" s="1">
        <v>6.0</v>
      </c>
      <c r="C13" s="1" t="s">
        <v>22</v>
      </c>
      <c r="D13" s="1" t="s">
        <v>37</v>
      </c>
      <c r="E13" s="3">
        <v>46084.55535243056</v>
      </c>
      <c r="G13" s="1" t="s">
        <v>16</v>
      </c>
      <c r="H13" s="1">
        <v>22.0</v>
      </c>
      <c r="I13" s="1">
        <v>7.0</v>
      </c>
      <c r="K13" s="1" t="s">
        <v>16</v>
      </c>
      <c r="L13" s="1" t="s">
        <v>17</v>
      </c>
      <c r="M13" s="1" t="s">
        <v>17</v>
      </c>
      <c r="N13" s="1" t="s">
        <v>18</v>
      </c>
    </row>
    <row r="14" ht="16.5" customHeight="1">
      <c r="A14" s="1">
        <v>13.0</v>
      </c>
      <c r="B14" s="1">
        <v>6.0</v>
      </c>
      <c r="C14" s="1" t="s">
        <v>14</v>
      </c>
      <c r="D14" s="1" t="s">
        <v>38</v>
      </c>
      <c r="E14" s="3">
        <v>46084.55535287037</v>
      </c>
      <c r="G14" s="1" t="s">
        <v>16</v>
      </c>
      <c r="H14" s="1">
        <v>23.0</v>
      </c>
      <c r="I14" s="1">
        <v>7.0</v>
      </c>
      <c r="K14" s="1" t="s">
        <v>16</v>
      </c>
      <c r="L14" s="1" t="s">
        <v>17</v>
      </c>
      <c r="M14" s="1" t="s">
        <v>18</v>
      </c>
      <c r="N14" s="1" t="s">
        <v>18</v>
      </c>
    </row>
    <row r="15" ht="16.5" customHeight="1">
      <c r="A15" s="1">
        <v>14.0</v>
      </c>
      <c r="B15" s="1">
        <v>6.0</v>
      </c>
      <c r="C15" s="1" t="s">
        <v>22</v>
      </c>
      <c r="D15" s="1" t="s">
        <v>39</v>
      </c>
      <c r="E15" s="3">
        <v>46084.55681511574</v>
      </c>
      <c r="G15" s="1" t="s">
        <v>16</v>
      </c>
      <c r="H15" s="1">
        <v>23.0</v>
      </c>
      <c r="I15" s="1">
        <v>8.0</v>
      </c>
      <c r="K15" s="1" t="s">
        <v>16</v>
      </c>
      <c r="L15" s="1" t="s">
        <v>17</v>
      </c>
      <c r="M15" s="1" t="s">
        <v>17</v>
      </c>
      <c r="N15" s="1" t="s">
        <v>18</v>
      </c>
    </row>
    <row r="16" ht="16.5" customHeight="1">
      <c r="A16" s="1">
        <v>15.0</v>
      </c>
      <c r="B16" s="1">
        <v>6.0</v>
      </c>
      <c r="C16" s="1" t="s">
        <v>14</v>
      </c>
      <c r="D16" s="1" t="s">
        <v>40</v>
      </c>
      <c r="E16" s="3">
        <v>46084.55712398148</v>
      </c>
      <c r="G16" s="1" t="s">
        <v>16</v>
      </c>
      <c r="H16" s="1">
        <v>24.0</v>
      </c>
      <c r="I16" s="1">
        <v>8.0</v>
      </c>
      <c r="K16" s="1" t="s">
        <v>16</v>
      </c>
      <c r="L16" s="1" t="s">
        <v>17</v>
      </c>
      <c r="M16" s="1" t="s">
        <v>18</v>
      </c>
      <c r="N16" s="1" t="s">
        <v>18</v>
      </c>
    </row>
    <row r="17" ht="16.5" customHeight="1">
      <c r="A17" s="1">
        <v>16.0</v>
      </c>
      <c r="B17" s="1">
        <v>6.0</v>
      </c>
      <c r="C17" s="1" t="s">
        <v>14</v>
      </c>
      <c r="D17" s="1" t="s">
        <v>41</v>
      </c>
      <c r="E17" s="3">
        <v>46084.559150277775</v>
      </c>
      <c r="G17" s="1" t="s">
        <v>16</v>
      </c>
      <c r="H17" s="1">
        <v>25.0</v>
      </c>
      <c r="I17" s="1">
        <v>9.0</v>
      </c>
      <c r="K17" s="1" t="s">
        <v>16</v>
      </c>
      <c r="L17" s="1" t="s">
        <v>17</v>
      </c>
      <c r="M17" s="1" t="s">
        <v>18</v>
      </c>
      <c r="N17" s="1" t="s">
        <v>18</v>
      </c>
    </row>
    <row r="18" ht="16.5" customHeight="1">
      <c r="A18" s="1">
        <v>17.0</v>
      </c>
      <c r="B18" s="1">
        <v>6.0</v>
      </c>
      <c r="C18" s="1" t="s">
        <v>22</v>
      </c>
      <c r="D18" s="1" t="s">
        <v>42</v>
      </c>
      <c r="E18" s="3">
        <v>46084.55899204861</v>
      </c>
      <c r="G18" s="1" t="s">
        <v>16</v>
      </c>
      <c r="H18" s="1">
        <v>24.0</v>
      </c>
      <c r="I18" s="1">
        <v>9.0</v>
      </c>
      <c r="K18" s="1" t="s">
        <v>16</v>
      </c>
      <c r="L18" s="1" t="s">
        <v>17</v>
      </c>
      <c r="M18" s="1" t="s">
        <v>17</v>
      </c>
      <c r="N18" s="1" t="s">
        <v>18</v>
      </c>
    </row>
    <row r="19" ht="16.5" customHeight="1">
      <c r="A19" s="1">
        <v>18.0</v>
      </c>
      <c r="B19" s="1">
        <v>6.0</v>
      </c>
      <c r="C19" s="1" t="s">
        <v>22</v>
      </c>
      <c r="D19" s="1" t="s">
        <v>43</v>
      </c>
      <c r="E19" s="3">
        <v>46084.560607858795</v>
      </c>
      <c r="G19" s="1" t="s">
        <v>16</v>
      </c>
      <c r="H19" s="1">
        <v>25.0</v>
      </c>
      <c r="I19" s="1">
        <v>10.0</v>
      </c>
      <c r="K19" s="1" t="s">
        <v>16</v>
      </c>
      <c r="L19" s="1" t="s">
        <v>17</v>
      </c>
      <c r="M19" s="1" t="s">
        <v>17</v>
      </c>
      <c r="N19" s="1" t="s">
        <v>18</v>
      </c>
    </row>
    <row r="20" ht="16.5" customHeight="1">
      <c r="A20" s="1">
        <v>19.0</v>
      </c>
      <c r="B20" s="1">
        <v>6.0</v>
      </c>
      <c r="C20" s="1" t="s">
        <v>14</v>
      </c>
      <c r="D20" s="1" t="s">
        <v>44</v>
      </c>
      <c r="E20" s="3">
        <v>46084.56089288194</v>
      </c>
      <c r="G20" s="1" t="s">
        <v>16</v>
      </c>
      <c r="H20" s="1">
        <v>26.0</v>
      </c>
      <c r="I20" s="1">
        <v>10.0</v>
      </c>
      <c r="K20" s="1" t="s">
        <v>16</v>
      </c>
      <c r="L20" s="1" t="s">
        <v>17</v>
      </c>
      <c r="M20" s="1" t="s">
        <v>18</v>
      </c>
      <c r="N20" s="1" t="s">
        <v>18</v>
      </c>
    </row>
    <row r="21" ht="16.5" customHeight="1">
      <c r="A21" s="1">
        <v>20.0</v>
      </c>
      <c r="B21" s="1">
        <v>6.0</v>
      </c>
      <c r="C21" s="1" t="s">
        <v>22</v>
      </c>
      <c r="D21" s="1" t="s">
        <v>45</v>
      </c>
      <c r="E21" s="3">
        <v>46084.562412060186</v>
      </c>
      <c r="G21" s="1" t="s">
        <v>16</v>
      </c>
      <c r="H21" s="1">
        <v>26.0</v>
      </c>
      <c r="I21" s="1">
        <v>11.0</v>
      </c>
      <c r="K21" s="1" t="s">
        <v>16</v>
      </c>
      <c r="L21" s="1" t="s">
        <v>17</v>
      </c>
      <c r="M21" s="1" t="s">
        <v>17</v>
      </c>
      <c r="N21" s="1" t="s">
        <v>18</v>
      </c>
    </row>
    <row r="22" ht="16.5" customHeight="1">
      <c r="A22" s="1">
        <v>21.0</v>
      </c>
      <c r="B22" s="1">
        <v>6.0</v>
      </c>
      <c r="C22" s="1" t="s">
        <v>14</v>
      </c>
      <c r="D22" s="1" t="s">
        <v>46</v>
      </c>
      <c r="E22" s="3">
        <v>46084.56270504629</v>
      </c>
      <c r="G22" s="1" t="s">
        <v>16</v>
      </c>
      <c r="H22" s="1">
        <v>27.0</v>
      </c>
      <c r="I22" s="1">
        <v>11.0</v>
      </c>
      <c r="K22" s="1" t="s">
        <v>16</v>
      </c>
      <c r="L22" s="1" t="s">
        <v>17</v>
      </c>
      <c r="M22" s="1" t="s">
        <v>18</v>
      </c>
      <c r="N22" s="1" t="s">
        <v>18</v>
      </c>
    </row>
    <row r="23" ht="16.5" customHeight="1">
      <c r="A23" s="1">
        <v>22.0</v>
      </c>
      <c r="B23" s="1">
        <v>6.0</v>
      </c>
      <c r="C23" s="1" t="s">
        <v>22</v>
      </c>
      <c r="D23" s="1" t="s">
        <v>47</v>
      </c>
      <c r="E23" s="3">
        <v>46084.563818703704</v>
      </c>
      <c r="G23" s="1" t="s">
        <v>16</v>
      </c>
      <c r="H23" s="1">
        <v>27.0</v>
      </c>
      <c r="I23" s="1">
        <v>12.0</v>
      </c>
      <c r="K23" s="1" t="s">
        <v>16</v>
      </c>
      <c r="L23" s="1" t="s">
        <v>17</v>
      </c>
      <c r="M23" s="1" t="s">
        <v>17</v>
      </c>
      <c r="N23" s="1" t="s">
        <v>18</v>
      </c>
    </row>
    <row r="24" ht="16.5" customHeight="1">
      <c r="A24" s="1">
        <v>23.0</v>
      </c>
      <c r="B24" s="1">
        <v>6.0</v>
      </c>
      <c r="C24" s="1" t="s">
        <v>14</v>
      </c>
      <c r="D24" s="1" t="s">
        <v>48</v>
      </c>
      <c r="E24" s="3">
        <v>46084.564034560186</v>
      </c>
      <c r="G24" s="1" t="s">
        <v>16</v>
      </c>
      <c r="H24" s="1">
        <v>28.0</v>
      </c>
      <c r="I24" s="1">
        <v>12.0</v>
      </c>
      <c r="K24" s="1" t="s">
        <v>16</v>
      </c>
      <c r="L24" s="1" t="s">
        <v>17</v>
      </c>
      <c r="M24" s="1" t="s">
        <v>18</v>
      </c>
      <c r="N24" s="1" t="s">
        <v>18</v>
      </c>
    </row>
    <row r="25" ht="16.5" customHeight="1">
      <c r="A25" s="1">
        <v>24.0</v>
      </c>
      <c r="B25" s="1">
        <v>6.0</v>
      </c>
      <c r="C25" s="1" t="s">
        <v>22</v>
      </c>
      <c r="D25" s="1" t="s">
        <v>49</v>
      </c>
      <c r="E25" s="3">
        <v>46084.56550557871</v>
      </c>
      <c r="G25" s="1" t="s">
        <v>16</v>
      </c>
      <c r="H25" s="1">
        <v>28.0</v>
      </c>
      <c r="I25" s="1">
        <v>13.0</v>
      </c>
      <c r="K25" s="1" t="s">
        <v>16</v>
      </c>
      <c r="L25" s="1" t="s">
        <v>17</v>
      </c>
      <c r="M25" s="1" t="s">
        <v>17</v>
      </c>
      <c r="N25" s="1" t="s">
        <v>18</v>
      </c>
    </row>
    <row r="26" ht="16.5" customHeight="1">
      <c r="A26" s="1">
        <v>25.0</v>
      </c>
      <c r="B26" s="1">
        <v>6.0</v>
      </c>
      <c r="C26" s="1" t="s">
        <v>14</v>
      </c>
      <c r="D26" s="1" t="s">
        <v>50</v>
      </c>
      <c r="E26" s="3">
        <v>46084.56564530093</v>
      </c>
      <c r="G26" s="1" t="s">
        <v>16</v>
      </c>
      <c r="H26" s="1">
        <v>29.0</v>
      </c>
      <c r="I26" s="1">
        <v>13.0</v>
      </c>
      <c r="K26" s="1" t="s">
        <v>16</v>
      </c>
      <c r="L26" s="1" t="s">
        <v>17</v>
      </c>
      <c r="M26" s="1" t="s">
        <v>18</v>
      </c>
      <c r="N26" s="1" t="s">
        <v>18</v>
      </c>
    </row>
    <row r="27" ht="16.5" customHeight="1">
      <c r="A27" s="1">
        <v>26.0</v>
      </c>
      <c r="B27" s="1">
        <v>6.0</v>
      </c>
      <c r="C27" s="1" t="s">
        <v>22</v>
      </c>
      <c r="D27" s="1" t="s">
        <v>51</v>
      </c>
      <c r="E27" s="3">
        <v>46084.57124244213</v>
      </c>
      <c r="G27" s="1" t="s">
        <v>16</v>
      </c>
      <c r="H27" s="1">
        <v>29.0</v>
      </c>
      <c r="I27" s="1">
        <v>14.0</v>
      </c>
      <c r="K27" s="1" t="s">
        <v>16</v>
      </c>
      <c r="L27" s="1" t="s">
        <v>17</v>
      </c>
      <c r="M27" s="1" t="s">
        <v>34</v>
      </c>
      <c r="N27" s="1" t="s">
        <v>18</v>
      </c>
    </row>
    <row r="28" ht="16.5" customHeight="1">
      <c r="A28" s="1">
        <v>27.0</v>
      </c>
      <c r="B28" s="1">
        <v>6.0</v>
      </c>
      <c r="C28" s="1" t="s">
        <v>14</v>
      </c>
      <c r="D28" s="1" t="s">
        <v>52</v>
      </c>
      <c r="E28" s="3">
        <v>46084.57147325231</v>
      </c>
      <c r="G28" s="1" t="s">
        <v>16</v>
      </c>
      <c r="H28" s="1">
        <v>30.0</v>
      </c>
      <c r="I28" s="1">
        <v>14.0</v>
      </c>
      <c r="K28" s="1" t="s">
        <v>16</v>
      </c>
      <c r="L28" s="1" t="s">
        <v>17</v>
      </c>
      <c r="M28" s="1" t="s">
        <v>18</v>
      </c>
      <c r="N28" s="1" t="s">
        <v>18</v>
      </c>
    </row>
    <row r="29" ht="16.5" customHeight="1">
      <c r="A29" s="1">
        <v>28.0</v>
      </c>
      <c r="B29" s="1">
        <v>6.0</v>
      </c>
      <c r="C29" s="1" t="s">
        <v>22</v>
      </c>
      <c r="D29" s="1" t="s">
        <v>54</v>
      </c>
      <c r="E29" s="3">
        <v>46084.57358849537</v>
      </c>
      <c r="G29" s="1" t="s">
        <v>16</v>
      </c>
      <c r="H29" s="1">
        <v>30.0</v>
      </c>
      <c r="I29" s="1">
        <v>15.0</v>
      </c>
      <c r="K29" s="1" t="s">
        <v>16</v>
      </c>
      <c r="L29" s="1" t="s">
        <v>17</v>
      </c>
      <c r="M29" s="1" t="s">
        <v>17</v>
      </c>
      <c r="N29" s="1" t="s">
        <v>18</v>
      </c>
    </row>
    <row r="30" ht="16.5" customHeight="1">
      <c r="A30" s="1">
        <v>29.0</v>
      </c>
      <c r="B30" s="1">
        <v>6.0</v>
      </c>
      <c r="C30" s="1" t="s">
        <v>14</v>
      </c>
      <c r="D30" s="1" t="s">
        <v>55</v>
      </c>
      <c r="E30" s="3">
        <v>46084.573589039355</v>
      </c>
      <c r="G30" s="1" t="s">
        <v>16</v>
      </c>
      <c r="H30" s="1">
        <v>31.0</v>
      </c>
      <c r="I30" s="1">
        <v>15.0</v>
      </c>
      <c r="K30" s="1" t="s">
        <v>16</v>
      </c>
      <c r="L30" s="1" t="s">
        <v>17</v>
      </c>
      <c r="M30" s="1" t="s">
        <v>18</v>
      </c>
      <c r="N30" s="1" t="s">
        <v>18</v>
      </c>
    </row>
    <row r="31" ht="16.5" customHeight="1">
      <c r="A31" s="1">
        <v>30.0</v>
      </c>
      <c r="B31" s="1">
        <v>6.0</v>
      </c>
      <c r="C31" s="1" t="s">
        <v>22</v>
      </c>
      <c r="D31" s="1" t="s">
        <v>56</v>
      </c>
      <c r="E31" s="3">
        <v>46084.57666420139</v>
      </c>
      <c r="G31" s="1" t="s">
        <v>16</v>
      </c>
      <c r="H31" s="1">
        <v>31.0</v>
      </c>
      <c r="I31" s="1">
        <v>16.0</v>
      </c>
      <c r="K31" s="1" t="s">
        <v>16</v>
      </c>
      <c r="L31" s="1" t="s">
        <v>17</v>
      </c>
      <c r="M31" s="1" t="s">
        <v>17</v>
      </c>
      <c r="N31" s="1" t="s">
        <v>18</v>
      </c>
    </row>
    <row r="32" ht="16.5" customHeight="1">
      <c r="A32" s="1">
        <v>26.0</v>
      </c>
      <c r="B32" s="1">
        <v>7.0</v>
      </c>
      <c r="C32" s="1" t="s">
        <v>14</v>
      </c>
      <c r="D32" s="1" t="s">
        <v>15</v>
      </c>
      <c r="E32" s="3">
        <v>46084.467469641204</v>
      </c>
      <c r="G32" s="1" t="s">
        <v>16</v>
      </c>
      <c r="H32" s="1">
        <v>20.0</v>
      </c>
      <c r="I32" s="1">
        <v>1.0</v>
      </c>
      <c r="K32" s="1" t="s">
        <v>16</v>
      </c>
      <c r="L32" s="1" t="s">
        <v>17</v>
      </c>
      <c r="M32" s="1" t="s">
        <v>18</v>
      </c>
      <c r="N32" s="1" t="s">
        <v>18</v>
      </c>
    </row>
    <row r="33" ht="16.5" customHeight="1">
      <c r="A33" s="1">
        <v>27.0</v>
      </c>
      <c r="B33" s="1">
        <v>7.0</v>
      </c>
      <c r="C33" s="1" t="s">
        <v>14</v>
      </c>
      <c r="D33" s="1" t="s">
        <v>19</v>
      </c>
      <c r="E33" s="3">
        <v>46084.46746976852</v>
      </c>
      <c r="G33" s="1" t="s">
        <v>16</v>
      </c>
      <c r="H33" s="1">
        <v>21.0</v>
      </c>
      <c r="I33" s="1">
        <v>2.0</v>
      </c>
      <c r="K33" s="1" t="s">
        <v>16</v>
      </c>
      <c r="L33" s="1" t="s">
        <v>17</v>
      </c>
      <c r="M33" s="1" t="s">
        <v>18</v>
      </c>
      <c r="N33" s="1" t="s">
        <v>18</v>
      </c>
    </row>
    <row r="34" ht="16.5" customHeight="1">
      <c r="A34" s="1">
        <v>28.0</v>
      </c>
      <c r="B34" s="1">
        <v>7.0</v>
      </c>
      <c r="C34" s="1" t="s">
        <v>14</v>
      </c>
      <c r="D34" s="1" t="s">
        <v>20</v>
      </c>
      <c r="E34" s="3">
        <v>46084.46747</v>
      </c>
      <c r="G34" s="1" t="s">
        <v>16</v>
      </c>
      <c r="H34" s="1">
        <v>22.0</v>
      </c>
      <c r="I34" s="1">
        <v>3.0</v>
      </c>
      <c r="K34" s="1" t="s">
        <v>16</v>
      </c>
      <c r="L34" s="1" t="s">
        <v>17</v>
      </c>
      <c r="M34" s="1" t="s">
        <v>18</v>
      </c>
      <c r="N34" s="1" t="s">
        <v>18</v>
      </c>
    </row>
    <row r="35" ht="16.5" customHeight="1">
      <c r="A35" s="1">
        <v>32.0</v>
      </c>
      <c r="B35" s="1">
        <v>7.0</v>
      </c>
      <c r="C35" s="1" t="s">
        <v>14</v>
      </c>
      <c r="D35" s="1" t="s">
        <v>58</v>
      </c>
      <c r="E35" s="3">
        <v>46084.47532706019</v>
      </c>
      <c r="G35" s="1" t="s">
        <v>16</v>
      </c>
      <c r="H35" s="1">
        <v>23.0</v>
      </c>
      <c r="I35" s="1">
        <v>4.0</v>
      </c>
      <c r="K35" s="1" t="s">
        <v>16</v>
      </c>
      <c r="L35" s="1" t="s">
        <v>17</v>
      </c>
      <c r="M35" s="1" t="s">
        <v>18</v>
      </c>
      <c r="N35" s="1" t="s">
        <v>18</v>
      </c>
    </row>
    <row r="36" ht="16.5" customHeight="1">
      <c r="A36" s="1">
        <v>29.0</v>
      </c>
      <c r="B36" s="1">
        <v>7.0</v>
      </c>
      <c r="C36" s="1" t="s">
        <v>22</v>
      </c>
      <c r="D36" s="1" t="s">
        <v>59</v>
      </c>
      <c r="E36" s="3">
        <v>46084.469081145835</v>
      </c>
      <c r="F36" s="1">
        <v>0.15</v>
      </c>
      <c r="G36" s="1" t="s">
        <v>24</v>
      </c>
      <c r="H36" s="1">
        <v>20.0</v>
      </c>
      <c r="I36" s="1">
        <v>4.0</v>
      </c>
      <c r="J36" s="1">
        <v>65.0</v>
      </c>
      <c r="K36" s="1" t="s">
        <v>60</v>
      </c>
      <c r="L36" s="1" t="s">
        <v>17</v>
      </c>
      <c r="M36" s="1" t="s">
        <v>17</v>
      </c>
      <c r="N36" s="1" t="s">
        <v>17</v>
      </c>
    </row>
    <row r="37" ht="16.5" customHeight="1">
      <c r="A37" s="1">
        <v>34.0</v>
      </c>
      <c r="B37" s="1">
        <v>7.0</v>
      </c>
      <c r="C37" s="1" t="s">
        <v>14</v>
      </c>
      <c r="D37" s="1" t="s">
        <v>26</v>
      </c>
      <c r="E37" s="3">
        <v>46084.4766172338</v>
      </c>
      <c r="G37" s="1" t="s">
        <v>16</v>
      </c>
      <c r="H37" s="1">
        <v>24.0</v>
      </c>
      <c r="I37" s="1">
        <v>5.0</v>
      </c>
      <c r="K37" s="1" t="s">
        <v>16</v>
      </c>
      <c r="L37" s="1" t="s">
        <v>17</v>
      </c>
      <c r="M37" s="1" t="s">
        <v>18</v>
      </c>
      <c r="N37" s="1" t="s">
        <v>18</v>
      </c>
    </row>
    <row r="38" ht="16.5" customHeight="1">
      <c r="A38" s="1">
        <v>30.0</v>
      </c>
      <c r="B38" s="1">
        <v>7.0</v>
      </c>
      <c r="C38" s="1" t="s">
        <v>22</v>
      </c>
      <c r="D38" s="1" t="s">
        <v>61</v>
      </c>
      <c r="E38" s="3">
        <v>46084.47323185185</v>
      </c>
      <c r="F38" s="1">
        <v>0.219999999999999</v>
      </c>
      <c r="G38" s="1" t="s">
        <v>24</v>
      </c>
      <c r="H38" s="1">
        <v>21.0</v>
      </c>
      <c r="I38" s="1">
        <v>5.0</v>
      </c>
      <c r="J38" s="1">
        <v>72.0</v>
      </c>
      <c r="K38" s="1" t="s">
        <v>62</v>
      </c>
      <c r="L38" s="1" t="s">
        <v>17</v>
      </c>
      <c r="M38" s="1" t="s">
        <v>17</v>
      </c>
      <c r="N38" s="1" t="s">
        <v>17</v>
      </c>
    </row>
    <row r="39" ht="16.5" customHeight="1">
      <c r="A39" s="1">
        <v>33.0</v>
      </c>
      <c r="B39" s="1">
        <v>7.0</v>
      </c>
      <c r="C39" s="1" t="s">
        <v>22</v>
      </c>
      <c r="D39" s="1" t="s">
        <v>63</v>
      </c>
      <c r="E39" s="3">
        <v>46084.47661673611</v>
      </c>
      <c r="F39" s="1">
        <v>0.319999999999999</v>
      </c>
      <c r="G39" s="1" t="s">
        <v>24</v>
      </c>
      <c r="H39" s="1">
        <v>23.0</v>
      </c>
      <c r="I39" s="1">
        <v>5.0</v>
      </c>
      <c r="J39" s="1">
        <v>82.0</v>
      </c>
      <c r="K39" s="1" t="s">
        <v>64</v>
      </c>
      <c r="L39" s="1" t="s">
        <v>17</v>
      </c>
      <c r="M39" s="1" t="s">
        <v>17</v>
      </c>
      <c r="N39" s="1" t="s">
        <v>17</v>
      </c>
    </row>
    <row r="40" ht="16.5" customHeight="1">
      <c r="A40" s="1">
        <v>36.0</v>
      </c>
      <c r="B40" s="1">
        <v>7.0</v>
      </c>
      <c r="C40" s="1" t="s">
        <v>14</v>
      </c>
      <c r="D40" s="1" t="s">
        <v>65</v>
      </c>
      <c r="E40" s="3">
        <v>46084.47885332176</v>
      </c>
      <c r="G40" s="1" t="s">
        <v>16</v>
      </c>
      <c r="H40" s="1">
        <v>25.0</v>
      </c>
      <c r="I40" s="1">
        <v>6.0</v>
      </c>
      <c r="K40" s="1" t="s">
        <v>16</v>
      </c>
      <c r="L40" s="1" t="s">
        <v>17</v>
      </c>
      <c r="M40" s="1" t="s">
        <v>18</v>
      </c>
      <c r="N40" s="1" t="s">
        <v>18</v>
      </c>
    </row>
    <row r="41" ht="16.5" customHeight="1">
      <c r="A41" s="1">
        <v>31.0</v>
      </c>
      <c r="B41" s="1">
        <v>7.0</v>
      </c>
      <c r="C41" s="1" t="s">
        <v>22</v>
      </c>
      <c r="D41" s="1" t="s">
        <v>66</v>
      </c>
      <c r="E41" s="3">
        <v>46084.47484336806</v>
      </c>
      <c r="F41" s="1">
        <v>0.25</v>
      </c>
      <c r="G41" s="1" t="s">
        <v>24</v>
      </c>
      <c r="H41" s="1">
        <v>22.0</v>
      </c>
      <c r="I41" s="1">
        <v>6.0</v>
      </c>
      <c r="J41" s="1">
        <v>75.0</v>
      </c>
      <c r="K41" s="1" t="s">
        <v>67</v>
      </c>
      <c r="L41" s="1" t="s">
        <v>17</v>
      </c>
      <c r="M41" s="1" t="s">
        <v>17</v>
      </c>
      <c r="N41" s="1" t="s">
        <v>17</v>
      </c>
    </row>
    <row r="42" ht="16.5" customHeight="1">
      <c r="A42" s="1">
        <v>35.0</v>
      </c>
      <c r="B42" s="1">
        <v>7.0</v>
      </c>
      <c r="C42" s="1" t="s">
        <v>22</v>
      </c>
      <c r="D42" s="1" t="s">
        <v>68</v>
      </c>
      <c r="E42" s="3">
        <v>46084.478446354165</v>
      </c>
      <c r="F42" s="1">
        <v>0.15</v>
      </c>
      <c r="G42" s="1" t="s">
        <v>24</v>
      </c>
      <c r="H42" s="1">
        <v>24.0</v>
      </c>
      <c r="I42" s="1">
        <v>6.0</v>
      </c>
      <c r="J42" s="1">
        <v>65.0</v>
      </c>
      <c r="K42" s="1" t="s">
        <v>69</v>
      </c>
      <c r="L42" s="1" t="s">
        <v>17</v>
      </c>
      <c r="M42" s="1" t="s">
        <v>17</v>
      </c>
      <c r="N42" s="1" t="s">
        <v>17</v>
      </c>
    </row>
    <row r="43" ht="16.5" customHeight="1">
      <c r="A43" s="1">
        <v>38.0</v>
      </c>
      <c r="B43" s="1">
        <v>7.0</v>
      </c>
      <c r="C43" s="1" t="s">
        <v>14</v>
      </c>
      <c r="D43" s="1" t="s">
        <v>38</v>
      </c>
      <c r="E43" s="3">
        <v>46084.48015980324</v>
      </c>
      <c r="G43" s="1" t="s">
        <v>16</v>
      </c>
      <c r="H43" s="1">
        <v>26.0</v>
      </c>
      <c r="I43" s="1">
        <v>7.0</v>
      </c>
      <c r="K43" s="1" t="s">
        <v>16</v>
      </c>
      <c r="L43" s="1" t="s">
        <v>17</v>
      </c>
      <c r="M43" s="1" t="s">
        <v>18</v>
      </c>
      <c r="N43" s="1" t="s">
        <v>18</v>
      </c>
    </row>
    <row r="44" ht="16.5" customHeight="1">
      <c r="A44" s="1">
        <v>37.0</v>
      </c>
      <c r="B44" s="1">
        <v>7.0</v>
      </c>
      <c r="C44" s="1" t="s">
        <v>22</v>
      </c>
      <c r="D44" s="1" t="s">
        <v>70</v>
      </c>
      <c r="E44" s="3">
        <v>46084.48015934028</v>
      </c>
      <c r="F44" s="1">
        <v>0.319999999999999</v>
      </c>
      <c r="G44" s="1" t="s">
        <v>24</v>
      </c>
      <c r="H44" s="1">
        <v>25.0</v>
      </c>
      <c r="I44" s="1">
        <v>7.0</v>
      </c>
      <c r="J44" s="1">
        <v>82.0</v>
      </c>
      <c r="K44" s="1" t="s">
        <v>71</v>
      </c>
      <c r="L44" s="1" t="s">
        <v>17</v>
      </c>
      <c r="M44" s="1" t="s">
        <v>17</v>
      </c>
      <c r="N44" s="1" t="s">
        <v>17</v>
      </c>
    </row>
    <row r="45" ht="16.5" customHeight="1">
      <c r="A45" s="1">
        <v>40.0</v>
      </c>
      <c r="B45" s="1">
        <v>7.0</v>
      </c>
      <c r="C45" s="1" t="s">
        <v>14</v>
      </c>
      <c r="D45" s="1" t="s">
        <v>72</v>
      </c>
      <c r="E45" s="3">
        <v>46084.48221001157</v>
      </c>
      <c r="G45" s="1" t="s">
        <v>16</v>
      </c>
      <c r="H45" s="1">
        <v>27.0</v>
      </c>
      <c r="I45" s="1">
        <v>8.0</v>
      </c>
      <c r="K45" s="1" t="s">
        <v>16</v>
      </c>
      <c r="L45" s="1" t="s">
        <v>17</v>
      </c>
      <c r="M45" s="1" t="s">
        <v>18</v>
      </c>
      <c r="N45" s="1" t="s">
        <v>18</v>
      </c>
    </row>
    <row r="46" ht="16.5" customHeight="1">
      <c r="A46" s="1">
        <v>39.0</v>
      </c>
      <c r="B46" s="1">
        <v>7.0</v>
      </c>
      <c r="C46" s="1" t="s">
        <v>22</v>
      </c>
      <c r="D46" s="1" t="s">
        <v>73</v>
      </c>
      <c r="E46" s="3">
        <v>46084.4815962037</v>
      </c>
      <c r="F46" s="1">
        <v>0.28</v>
      </c>
      <c r="G46" s="1" t="s">
        <v>24</v>
      </c>
      <c r="H46" s="1">
        <v>26.0</v>
      </c>
      <c r="I46" s="1">
        <v>8.0</v>
      </c>
      <c r="J46" s="1">
        <v>78.0</v>
      </c>
      <c r="K46" s="1" t="s">
        <v>74</v>
      </c>
      <c r="L46" s="1" t="s">
        <v>17</v>
      </c>
      <c r="M46" s="1" t="s">
        <v>17</v>
      </c>
      <c r="N46" s="1" t="s">
        <v>17</v>
      </c>
    </row>
    <row r="47" ht="16.5" customHeight="1">
      <c r="A47" s="1">
        <v>42.0</v>
      </c>
      <c r="B47" s="1">
        <v>7.0</v>
      </c>
      <c r="C47" s="1" t="s">
        <v>14</v>
      </c>
      <c r="D47" s="1" t="s">
        <v>75</v>
      </c>
      <c r="E47" s="3">
        <v>46084.48322900463</v>
      </c>
      <c r="G47" s="1" t="s">
        <v>16</v>
      </c>
      <c r="H47" s="1">
        <v>28.0</v>
      </c>
      <c r="I47" s="1">
        <v>9.0</v>
      </c>
      <c r="K47" s="1" t="s">
        <v>16</v>
      </c>
      <c r="L47" s="1" t="s">
        <v>17</v>
      </c>
      <c r="M47" s="1" t="s">
        <v>18</v>
      </c>
      <c r="N47" s="1" t="s">
        <v>18</v>
      </c>
    </row>
    <row r="48" ht="16.5" customHeight="1">
      <c r="A48" s="1">
        <v>41.0</v>
      </c>
      <c r="B48" s="1">
        <v>7.0</v>
      </c>
      <c r="C48" s="1" t="s">
        <v>22</v>
      </c>
      <c r="D48" s="1" t="s">
        <v>76</v>
      </c>
      <c r="E48" s="3">
        <v>46084.4828721875</v>
      </c>
      <c r="F48" s="1">
        <v>-0.0499999999999999</v>
      </c>
      <c r="G48" s="1" t="s">
        <v>24</v>
      </c>
      <c r="H48" s="1">
        <v>27.0</v>
      </c>
      <c r="I48" s="1">
        <v>9.0</v>
      </c>
      <c r="J48" s="1">
        <v>45.0</v>
      </c>
      <c r="K48" s="1" t="s">
        <v>77</v>
      </c>
      <c r="L48" s="1" t="s">
        <v>17</v>
      </c>
      <c r="M48" s="1" t="s">
        <v>17</v>
      </c>
      <c r="N48" s="1" t="s">
        <v>17</v>
      </c>
    </row>
    <row r="49" ht="16.5" customHeight="1">
      <c r="A49" s="1">
        <v>44.0</v>
      </c>
      <c r="B49" s="1">
        <v>7.0</v>
      </c>
      <c r="C49" s="1" t="s">
        <v>14</v>
      </c>
      <c r="D49" s="1" t="s">
        <v>78</v>
      </c>
      <c r="E49" s="3">
        <v>46084.48511335648</v>
      </c>
      <c r="G49" s="1" t="s">
        <v>16</v>
      </c>
      <c r="H49" s="1">
        <v>29.0</v>
      </c>
      <c r="I49" s="1">
        <v>10.0</v>
      </c>
      <c r="K49" s="1" t="s">
        <v>16</v>
      </c>
      <c r="L49" s="1" t="s">
        <v>17</v>
      </c>
      <c r="M49" s="1" t="s">
        <v>18</v>
      </c>
      <c r="N49" s="1" t="s">
        <v>18</v>
      </c>
    </row>
    <row r="50" ht="16.5" customHeight="1">
      <c r="A50" s="1">
        <v>43.0</v>
      </c>
      <c r="B50" s="1">
        <v>7.0</v>
      </c>
      <c r="C50" s="1" t="s">
        <v>22</v>
      </c>
      <c r="D50" s="1" t="s">
        <v>79</v>
      </c>
      <c r="E50" s="3">
        <v>46084.48475232639</v>
      </c>
      <c r="F50" s="1">
        <v>0.28</v>
      </c>
      <c r="G50" s="1" t="s">
        <v>24</v>
      </c>
      <c r="H50" s="1">
        <v>28.0</v>
      </c>
      <c r="I50" s="1">
        <v>10.0</v>
      </c>
      <c r="J50" s="1">
        <v>78.0</v>
      </c>
      <c r="K50" s="1" t="s">
        <v>80</v>
      </c>
      <c r="L50" s="1" t="s">
        <v>17</v>
      </c>
      <c r="M50" s="1" t="s">
        <v>17</v>
      </c>
      <c r="N50" s="1" t="s">
        <v>17</v>
      </c>
    </row>
    <row r="51" ht="16.5" customHeight="1">
      <c r="A51" s="1">
        <v>46.0</v>
      </c>
      <c r="B51" s="1">
        <v>7.0</v>
      </c>
      <c r="C51" s="1" t="s">
        <v>14</v>
      </c>
      <c r="D51" s="1" t="s">
        <v>82</v>
      </c>
      <c r="E51" s="3">
        <v>46084.48652752315</v>
      </c>
      <c r="G51" s="1" t="s">
        <v>16</v>
      </c>
      <c r="H51" s="1">
        <v>30.0</v>
      </c>
      <c r="I51" s="1">
        <v>11.0</v>
      </c>
      <c r="K51" s="1" t="s">
        <v>16</v>
      </c>
      <c r="L51" s="1" t="s">
        <v>17</v>
      </c>
      <c r="M51" s="1" t="s">
        <v>18</v>
      </c>
      <c r="N51" s="1" t="s">
        <v>18</v>
      </c>
    </row>
    <row r="52" ht="16.5" customHeight="1">
      <c r="A52" s="1">
        <v>45.0</v>
      </c>
      <c r="B52" s="1">
        <v>7.0</v>
      </c>
      <c r="C52" s="1" t="s">
        <v>22</v>
      </c>
      <c r="D52" s="1" t="s">
        <v>83</v>
      </c>
      <c r="E52" s="3">
        <v>46084.48593858796</v>
      </c>
      <c r="F52" s="1">
        <v>0.25</v>
      </c>
      <c r="G52" s="1" t="s">
        <v>24</v>
      </c>
      <c r="H52" s="1">
        <v>29.0</v>
      </c>
      <c r="I52" s="1">
        <v>11.0</v>
      </c>
      <c r="J52" s="1">
        <v>75.0</v>
      </c>
      <c r="K52" s="1" t="s">
        <v>84</v>
      </c>
      <c r="L52" s="1" t="s">
        <v>17</v>
      </c>
      <c r="M52" s="1" t="s">
        <v>17</v>
      </c>
      <c r="N52" s="1" t="s">
        <v>17</v>
      </c>
    </row>
    <row r="53" ht="16.5" customHeight="1">
      <c r="A53" s="1">
        <v>48.0</v>
      </c>
      <c r="B53" s="1">
        <v>7.0</v>
      </c>
      <c r="C53" s="1" t="s">
        <v>14</v>
      </c>
      <c r="D53" s="1" t="s">
        <v>85</v>
      </c>
      <c r="E53" s="3">
        <v>46084.48815668982</v>
      </c>
      <c r="G53" s="1" t="s">
        <v>16</v>
      </c>
      <c r="H53" s="1">
        <v>31.0</v>
      </c>
      <c r="I53" s="1">
        <v>12.0</v>
      </c>
      <c r="K53" s="1" t="s">
        <v>16</v>
      </c>
      <c r="L53" s="1" t="s">
        <v>17</v>
      </c>
      <c r="M53" s="1" t="s">
        <v>18</v>
      </c>
      <c r="N53" s="1" t="s">
        <v>18</v>
      </c>
    </row>
    <row r="54" ht="16.5" customHeight="1">
      <c r="A54" s="1">
        <v>47.0</v>
      </c>
      <c r="B54" s="1">
        <v>7.0</v>
      </c>
      <c r="C54" s="1" t="s">
        <v>22</v>
      </c>
      <c r="D54" s="1" t="s">
        <v>86</v>
      </c>
      <c r="E54" s="3">
        <v>46084.487833831015</v>
      </c>
      <c r="F54" s="1">
        <v>0.28</v>
      </c>
      <c r="G54" s="1" t="s">
        <v>24</v>
      </c>
      <c r="H54" s="1">
        <v>30.0</v>
      </c>
      <c r="I54" s="1">
        <v>12.0</v>
      </c>
      <c r="J54" s="1">
        <v>78.0</v>
      </c>
      <c r="K54" s="1" t="s">
        <v>87</v>
      </c>
      <c r="L54" s="1" t="s">
        <v>17</v>
      </c>
      <c r="M54" s="1" t="s">
        <v>17</v>
      </c>
      <c r="N54" s="1" t="s">
        <v>17</v>
      </c>
    </row>
    <row r="55" ht="16.5" customHeight="1">
      <c r="A55" s="1">
        <v>50.0</v>
      </c>
      <c r="B55" s="1">
        <v>7.0</v>
      </c>
      <c r="C55" s="1" t="s">
        <v>14</v>
      </c>
      <c r="D55" s="1" t="s">
        <v>88</v>
      </c>
      <c r="E55" s="3">
        <v>46084.489002546296</v>
      </c>
      <c r="G55" s="1" t="s">
        <v>16</v>
      </c>
      <c r="H55" s="1">
        <v>32.0</v>
      </c>
      <c r="I55" s="1">
        <v>13.0</v>
      </c>
      <c r="K55" s="1" t="s">
        <v>16</v>
      </c>
      <c r="L55" s="1" t="s">
        <v>17</v>
      </c>
      <c r="M55" s="1" t="s">
        <v>18</v>
      </c>
      <c r="N55" s="1" t="s">
        <v>18</v>
      </c>
    </row>
    <row r="56" ht="16.5" customHeight="1">
      <c r="A56" s="1">
        <v>49.0</v>
      </c>
      <c r="B56" s="1">
        <v>7.0</v>
      </c>
      <c r="C56" s="1" t="s">
        <v>22</v>
      </c>
      <c r="D56" s="1" t="s">
        <v>89</v>
      </c>
      <c r="E56" s="3">
        <v>46084.48881162037</v>
      </c>
      <c r="F56" s="1">
        <v>-0.0499999999999999</v>
      </c>
      <c r="G56" s="1" t="s">
        <v>24</v>
      </c>
      <c r="H56" s="1">
        <v>31.0</v>
      </c>
      <c r="I56" s="1">
        <v>13.0</v>
      </c>
      <c r="J56" s="1">
        <v>45.0</v>
      </c>
      <c r="K56" s="1" t="s">
        <v>90</v>
      </c>
      <c r="L56" s="1" t="s">
        <v>17</v>
      </c>
      <c r="M56" s="1" t="s">
        <v>17</v>
      </c>
      <c r="N56" s="1" t="s">
        <v>17</v>
      </c>
    </row>
    <row r="57" ht="16.5" customHeight="1">
      <c r="A57" s="1">
        <v>52.0</v>
      </c>
      <c r="B57" s="1">
        <v>7.0</v>
      </c>
      <c r="C57" s="1" t="s">
        <v>14</v>
      </c>
      <c r="D57" s="1" t="s">
        <v>91</v>
      </c>
      <c r="E57" s="3">
        <v>46084.48991549769</v>
      </c>
      <c r="G57" s="1" t="s">
        <v>16</v>
      </c>
      <c r="H57" s="1">
        <v>33.0</v>
      </c>
      <c r="I57" s="1">
        <v>14.0</v>
      </c>
      <c r="K57" s="1" t="s">
        <v>16</v>
      </c>
      <c r="L57" s="1" t="s">
        <v>17</v>
      </c>
      <c r="M57" s="1" t="s">
        <v>18</v>
      </c>
      <c r="N57" s="1" t="s">
        <v>18</v>
      </c>
    </row>
    <row r="58" ht="16.5" customHeight="1">
      <c r="A58" s="1">
        <v>51.0</v>
      </c>
      <c r="B58" s="1">
        <v>7.0</v>
      </c>
      <c r="C58" s="1" t="s">
        <v>22</v>
      </c>
      <c r="D58" s="1" t="s">
        <v>92</v>
      </c>
      <c r="E58" s="3">
        <v>46084.48970153935</v>
      </c>
      <c r="F58" s="1">
        <v>0.28</v>
      </c>
      <c r="G58" s="1" t="s">
        <v>24</v>
      </c>
      <c r="H58" s="1">
        <v>32.0</v>
      </c>
      <c r="I58" s="1">
        <v>14.0</v>
      </c>
      <c r="J58" s="1">
        <v>78.0</v>
      </c>
      <c r="K58" s="1" t="s">
        <v>93</v>
      </c>
      <c r="L58" s="1" t="s">
        <v>17</v>
      </c>
      <c r="M58" s="1" t="s">
        <v>17</v>
      </c>
      <c r="N58" s="1" t="s">
        <v>17</v>
      </c>
    </row>
    <row r="59" ht="16.5" customHeight="1">
      <c r="A59" s="1">
        <v>54.0</v>
      </c>
      <c r="B59" s="1">
        <v>7.0</v>
      </c>
      <c r="C59" s="1" t="s">
        <v>14</v>
      </c>
      <c r="D59" s="1" t="s">
        <v>55</v>
      </c>
      <c r="E59" s="3">
        <v>46084.49067190972</v>
      </c>
      <c r="G59" s="1" t="s">
        <v>16</v>
      </c>
      <c r="H59" s="1">
        <v>34.0</v>
      </c>
      <c r="I59" s="1">
        <v>15.0</v>
      </c>
      <c r="K59" s="1" t="s">
        <v>16</v>
      </c>
      <c r="L59" s="1" t="s">
        <v>17</v>
      </c>
      <c r="M59" s="1" t="s">
        <v>18</v>
      </c>
      <c r="N59" s="1" t="s">
        <v>18</v>
      </c>
    </row>
    <row r="60" ht="16.5" customHeight="1">
      <c r="A60" s="1">
        <v>53.0</v>
      </c>
      <c r="B60" s="1">
        <v>7.0</v>
      </c>
      <c r="C60" s="1" t="s">
        <v>22</v>
      </c>
      <c r="D60" s="1" t="s">
        <v>94</v>
      </c>
      <c r="E60" s="3">
        <v>46084.49067133102</v>
      </c>
      <c r="F60" s="1">
        <v>0.25</v>
      </c>
      <c r="G60" s="1" t="s">
        <v>24</v>
      </c>
      <c r="H60" s="1">
        <v>33.0</v>
      </c>
      <c r="I60" s="1">
        <v>15.0</v>
      </c>
      <c r="J60" s="1">
        <v>75.0</v>
      </c>
      <c r="K60" s="1" t="s">
        <v>95</v>
      </c>
      <c r="L60" s="1" t="s">
        <v>17</v>
      </c>
      <c r="M60" s="1" t="s">
        <v>17</v>
      </c>
      <c r="N60" s="1" t="s">
        <v>17</v>
      </c>
    </row>
    <row r="61" ht="16.5" customHeight="1">
      <c r="A61" s="1">
        <v>55.0</v>
      </c>
      <c r="B61" s="1">
        <v>7.0</v>
      </c>
      <c r="C61" s="1" t="s">
        <v>22</v>
      </c>
      <c r="D61" s="1" t="s">
        <v>96</v>
      </c>
      <c r="E61" s="3">
        <v>46084.49132699074</v>
      </c>
      <c r="F61" s="1">
        <v>0.189999999999999</v>
      </c>
      <c r="G61" s="1" t="s">
        <v>24</v>
      </c>
      <c r="H61" s="1">
        <v>34.0</v>
      </c>
      <c r="I61" s="1">
        <v>16.0</v>
      </c>
      <c r="J61" s="1">
        <v>69.0</v>
      </c>
      <c r="K61" s="1" t="s">
        <v>97</v>
      </c>
      <c r="L61" s="1" t="s">
        <v>17</v>
      </c>
      <c r="M61" s="1" t="s">
        <v>34</v>
      </c>
      <c r="N61" s="1" t="s">
        <v>17</v>
      </c>
    </row>
    <row r="62" ht="16.5" customHeight="1">
      <c r="A62" s="1">
        <v>219.0</v>
      </c>
      <c r="B62" s="1">
        <v>38.0</v>
      </c>
      <c r="C62" s="1" t="s">
        <v>14</v>
      </c>
      <c r="D62" s="1" t="s">
        <v>98</v>
      </c>
      <c r="E62" s="3">
        <v>46084.63663905093</v>
      </c>
      <c r="G62" s="1" t="s">
        <v>16</v>
      </c>
      <c r="H62" s="1">
        <v>124.0</v>
      </c>
      <c r="I62" s="1">
        <v>1.0</v>
      </c>
      <c r="K62" s="1" t="s">
        <v>16</v>
      </c>
      <c r="L62" s="1" t="s">
        <v>17</v>
      </c>
      <c r="M62" s="1" t="s">
        <v>18</v>
      </c>
      <c r="N62" s="1" t="s">
        <v>18</v>
      </c>
    </row>
    <row r="63" ht="16.5" customHeight="1">
      <c r="A63" s="1">
        <v>220.0</v>
      </c>
      <c r="B63" s="1">
        <v>38.0</v>
      </c>
      <c r="C63" s="1" t="s">
        <v>14</v>
      </c>
      <c r="D63" s="1" t="s">
        <v>99</v>
      </c>
      <c r="E63" s="3">
        <v>46084.63663916667</v>
      </c>
      <c r="G63" s="1" t="s">
        <v>16</v>
      </c>
      <c r="H63" s="1">
        <v>125.0</v>
      </c>
      <c r="I63" s="1">
        <v>2.0</v>
      </c>
      <c r="K63" s="1" t="s">
        <v>16</v>
      </c>
      <c r="L63" s="1" t="s">
        <v>17</v>
      </c>
      <c r="M63" s="1" t="s">
        <v>18</v>
      </c>
      <c r="N63" s="1" t="s">
        <v>18</v>
      </c>
    </row>
    <row r="64" ht="16.5" customHeight="1">
      <c r="A64" s="1">
        <v>221.0</v>
      </c>
      <c r="B64" s="1">
        <v>38.0</v>
      </c>
      <c r="C64" s="1" t="s">
        <v>14</v>
      </c>
      <c r="D64" s="1" t="s">
        <v>100</v>
      </c>
      <c r="E64" s="3">
        <v>46084.63663927084</v>
      </c>
      <c r="G64" s="1" t="s">
        <v>16</v>
      </c>
      <c r="H64" s="1">
        <v>126.0</v>
      </c>
      <c r="I64" s="1">
        <v>3.0</v>
      </c>
      <c r="K64" s="1" t="s">
        <v>16</v>
      </c>
      <c r="L64" s="1" t="s">
        <v>17</v>
      </c>
      <c r="M64" s="1" t="s">
        <v>18</v>
      </c>
      <c r="N64" s="1" t="s">
        <v>18</v>
      </c>
    </row>
    <row r="65" ht="16.5" customHeight="1">
      <c r="A65" s="1">
        <v>225.0</v>
      </c>
      <c r="B65" s="1">
        <v>38.0</v>
      </c>
      <c r="C65" s="1" t="s">
        <v>14</v>
      </c>
      <c r="D65" s="1" t="s">
        <v>102</v>
      </c>
      <c r="E65" s="3">
        <v>46084.64230511574</v>
      </c>
      <c r="G65" s="1" t="s">
        <v>16</v>
      </c>
      <c r="H65" s="1">
        <v>127.0</v>
      </c>
      <c r="I65" s="1">
        <v>4.0</v>
      </c>
      <c r="K65" s="1" t="s">
        <v>16</v>
      </c>
      <c r="L65" s="1" t="s">
        <v>17</v>
      </c>
      <c r="M65" s="1" t="s">
        <v>18</v>
      </c>
      <c r="N65" s="1" t="s">
        <v>18</v>
      </c>
    </row>
    <row r="66" ht="16.5" customHeight="1">
      <c r="A66" s="1">
        <v>222.0</v>
      </c>
      <c r="B66" s="1">
        <v>38.0</v>
      </c>
      <c r="C66" s="1" t="s">
        <v>22</v>
      </c>
      <c r="D66" s="1" t="s">
        <v>103</v>
      </c>
      <c r="E66" s="3">
        <v>46084.63843219908</v>
      </c>
      <c r="F66" s="1">
        <v>0.15</v>
      </c>
      <c r="G66" s="1" t="s">
        <v>104</v>
      </c>
      <c r="H66" s="1">
        <v>124.0</v>
      </c>
      <c r="I66" s="1">
        <v>4.0</v>
      </c>
      <c r="J66" s="1">
        <v>65.0</v>
      </c>
      <c r="K66" s="1" t="s">
        <v>105</v>
      </c>
      <c r="L66" s="1" t="s">
        <v>17</v>
      </c>
      <c r="M66" s="1" t="s">
        <v>34</v>
      </c>
      <c r="N66" s="1" t="s">
        <v>17</v>
      </c>
    </row>
    <row r="67" ht="16.5" customHeight="1">
      <c r="A67" s="1">
        <v>226.0</v>
      </c>
      <c r="B67" s="1">
        <v>38.0</v>
      </c>
      <c r="C67" s="1" t="s">
        <v>22</v>
      </c>
      <c r="D67" s="1" t="s">
        <v>106</v>
      </c>
      <c r="E67" s="3">
        <v>46084.64299543981</v>
      </c>
      <c r="F67" s="1">
        <v>-0.3</v>
      </c>
      <c r="G67" s="1" t="s">
        <v>104</v>
      </c>
      <c r="H67" s="1">
        <v>127.0</v>
      </c>
      <c r="I67" s="1">
        <v>5.0</v>
      </c>
      <c r="J67" s="1">
        <v>20.0</v>
      </c>
      <c r="K67" s="1" t="s">
        <v>107</v>
      </c>
      <c r="L67" s="1" t="s">
        <v>17</v>
      </c>
      <c r="M67" s="1" t="s">
        <v>17</v>
      </c>
      <c r="N67" s="1" t="s">
        <v>17</v>
      </c>
    </row>
    <row r="68" ht="16.5" customHeight="1">
      <c r="A68" s="1">
        <v>227.0</v>
      </c>
      <c r="B68" s="1">
        <v>38.0</v>
      </c>
      <c r="C68" s="1" t="s">
        <v>14</v>
      </c>
      <c r="D68" s="1" t="s">
        <v>108</v>
      </c>
      <c r="E68" s="3">
        <v>46084.642996215276</v>
      </c>
      <c r="G68" s="1" t="s">
        <v>16</v>
      </c>
      <c r="H68" s="1">
        <v>128.0</v>
      </c>
      <c r="I68" s="1">
        <v>5.0</v>
      </c>
      <c r="K68" s="1" t="s">
        <v>16</v>
      </c>
      <c r="L68" s="1" t="s">
        <v>17</v>
      </c>
      <c r="M68" s="1" t="s">
        <v>18</v>
      </c>
      <c r="N68" s="1" t="s">
        <v>18</v>
      </c>
    </row>
    <row r="69" ht="16.5" customHeight="1">
      <c r="A69" s="1">
        <v>223.0</v>
      </c>
      <c r="B69" s="1">
        <v>38.0</v>
      </c>
      <c r="C69" s="1" t="s">
        <v>22</v>
      </c>
      <c r="D69" s="1" t="s">
        <v>110</v>
      </c>
      <c r="E69" s="3">
        <v>46084.63973971065</v>
      </c>
      <c r="F69" s="1">
        <v>0.12</v>
      </c>
      <c r="G69" s="1" t="s">
        <v>104</v>
      </c>
      <c r="H69" s="1">
        <v>125.0</v>
      </c>
      <c r="I69" s="1">
        <v>5.0</v>
      </c>
      <c r="J69" s="1">
        <v>62.0</v>
      </c>
      <c r="K69" s="1" t="s">
        <v>111</v>
      </c>
      <c r="L69" s="1" t="s">
        <v>17</v>
      </c>
      <c r="M69" s="1" t="s">
        <v>17</v>
      </c>
      <c r="N69" s="1" t="s">
        <v>17</v>
      </c>
    </row>
    <row r="70" ht="16.5" customHeight="1">
      <c r="A70" s="1">
        <v>228.0</v>
      </c>
      <c r="B70" s="1">
        <v>38.0</v>
      </c>
      <c r="C70" s="1" t="s">
        <v>22</v>
      </c>
      <c r="D70" s="1" t="s">
        <v>112</v>
      </c>
      <c r="E70" s="3">
        <v>46084.64391627315</v>
      </c>
      <c r="F70" s="1">
        <v>-0.0499999999999999</v>
      </c>
      <c r="G70" s="1" t="s">
        <v>104</v>
      </c>
      <c r="H70" s="1">
        <v>128.0</v>
      </c>
      <c r="I70" s="1">
        <v>6.0</v>
      </c>
      <c r="J70" s="1">
        <v>45.0</v>
      </c>
      <c r="K70" s="1" t="s">
        <v>113</v>
      </c>
      <c r="L70" s="1" t="s">
        <v>17</v>
      </c>
      <c r="M70" s="1" t="s">
        <v>17</v>
      </c>
      <c r="N70" s="1" t="s">
        <v>17</v>
      </c>
    </row>
    <row r="71" ht="16.5" customHeight="1">
      <c r="A71" s="1">
        <v>229.0</v>
      </c>
      <c r="B71" s="1">
        <v>38.0</v>
      </c>
      <c r="C71" s="1" t="s">
        <v>14</v>
      </c>
      <c r="D71" s="1" t="s">
        <v>114</v>
      </c>
      <c r="E71" s="3">
        <v>46084.64435283565</v>
      </c>
      <c r="G71" s="1" t="s">
        <v>16</v>
      </c>
      <c r="H71" s="1">
        <v>129.0</v>
      </c>
      <c r="I71" s="1">
        <v>6.0</v>
      </c>
      <c r="K71" s="1" t="s">
        <v>16</v>
      </c>
      <c r="L71" s="1" t="s">
        <v>34</v>
      </c>
      <c r="M71" s="1" t="s">
        <v>18</v>
      </c>
      <c r="N71" s="1" t="s">
        <v>18</v>
      </c>
    </row>
    <row r="72" ht="16.5" customHeight="1">
      <c r="A72" s="1">
        <v>224.0</v>
      </c>
      <c r="B72" s="1">
        <v>38.0</v>
      </c>
      <c r="C72" s="1" t="s">
        <v>22</v>
      </c>
      <c r="D72" s="1" t="s">
        <v>115</v>
      </c>
      <c r="E72" s="3">
        <v>46084.64182033565</v>
      </c>
      <c r="F72" s="1">
        <v>0.15</v>
      </c>
      <c r="G72" s="1" t="s">
        <v>104</v>
      </c>
      <c r="H72" s="1">
        <v>126.0</v>
      </c>
      <c r="I72" s="1">
        <v>6.0</v>
      </c>
      <c r="J72" s="1">
        <v>65.0</v>
      </c>
      <c r="K72" s="1" t="s">
        <v>116</v>
      </c>
      <c r="L72" s="1" t="s">
        <v>17</v>
      </c>
      <c r="M72" s="1" t="s">
        <v>17</v>
      </c>
      <c r="N72" s="1" t="s">
        <v>17</v>
      </c>
    </row>
    <row r="73" ht="16.5" customHeight="1">
      <c r="A73" s="1">
        <v>230.0</v>
      </c>
      <c r="B73" s="1">
        <v>38.0</v>
      </c>
      <c r="C73" s="1" t="s">
        <v>22</v>
      </c>
      <c r="D73" s="1" t="s">
        <v>117</v>
      </c>
      <c r="E73" s="3">
        <v>46084.6449284375</v>
      </c>
      <c r="F73" s="1">
        <v>-0.3</v>
      </c>
      <c r="G73" s="1" t="s">
        <v>104</v>
      </c>
      <c r="H73" s="1">
        <v>129.0</v>
      </c>
      <c r="I73" s="1">
        <v>7.0</v>
      </c>
      <c r="J73" s="1">
        <v>20.0</v>
      </c>
      <c r="K73" s="1" t="s">
        <v>118</v>
      </c>
      <c r="L73" s="1" t="s">
        <v>17</v>
      </c>
      <c r="M73" s="1" t="s">
        <v>17</v>
      </c>
      <c r="N73" s="1" t="s">
        <v>17</v>
      </c>
    </row>
    <row r="74" ht="16.5" customHeight="1">
      <c r="A74" s="1">
        <v>231.0</v>
      </c>
      <c r="B74" s="1">
        <v>38.0</v>
      </c>
      <c r="C74" s="1" t="s">
        <v>14</v>
      </c>
      <c r="D74" s="1" t="s">
        <v>119</v>
      </c>
      <c r="E74" s="3">
        <v>46084.6449290625</v>
      </c>
      <c r="G74" s="1" t="s">
        <v>16</v>
      </c>
      <c r="H74" s="1">
        <v>130.0</v>
      </c>
      <c r="I74" s="1">
        <v>7.0</v>
      </c>
      <c r="K74" s="1" t="s">
        <v>16</v>
      </c>
      <c r="L74" s="1" t="s">
        <v>17</v>
      </c>
      <c r="M74" s="1" t="s">
        <v>18</v>
      </c>
      <c r="N74" s="1" t="s">
        <v>18</v>
      </c>
    </row>
    <row r="75" ht="16.5" customHeight="1">
      <c r="A75" s="1">
        <v>232.0</v>
      </c>
      <c r="B75" s="1">
        <v>38.0</v>
      </c>
      <c r="C75" s="1" t="s">
        <v>22</v>
      </c>
      <c r="D75" s="1" t="s">
        <v>117</v>
      </c>
      <c r="E75" s="3">
        <v>46084.64578034722</v>
      </c>
      <c r="F75" s="1">
        <v>-0.3</v>
      </c>
      <c r="G75" s="1" t="s">
        <v>104</v>
      </c>
      <c r="H75" s="1">
        <v>130.0</v>
      </c>
      <c r="I75" s="1">
        <v>8.0</v>
      </c>
      <c r="J75" s="1">
        <v>20.0</v>
      </c>
      <c r="K75" s="1" t="s">
        <v>120</v>
      </c>
      <c r="L75" s="1" t="s">
        <v>17</v>
      </c>
      <c r="M75" s="1" t="s">
        <v>17</v>
      </c>
      <c r="N75" s="1" t="s">
        <v>17</v>
      </c>
    </row>
    <row r="76" ht="16.5" customHeight="1">
      <c r="A76" s="1">
        <v>233.0</v>
      </c>
      <c r="B76" s="1">
        <v>38.0</v>
      </c>
      <c r="C76" s="1" t="s">
        <v>14</v>
      </c>
      <c r="D76" s="1" t="s">
        <v>121</v>
      </c>
      <c r="E76" s="3">
        <v>46084.646025787035</v>
      </c>
      <c r="G76" s="1" t="s">
        <v>16</v>
      </c>
      <c r="H76" s="1">
        <v>131.0</v>
      </c>
      <c r="I76" s="1">
        <v>8.0</v>
      </c>
      <c r="K76" s="1" t="s">
        <v>16</v>
      </c>
      <c r="L76" s="1" t="s">
        <v>17</v>
      </c>
      <c r="M76" s="1" t="s">
        <v>18</v>
      </c>
      <c r="N76" s="1" t="s">
        <v>18</v>
      </c>
    </row>
    <row r="77" ht="16.5" customHeight="1">
      <c r="A77" s="1">
        <v>234.0</v>
      </c>
      <c r="B77" s="1">
        <v>38.0</v>
      </c>
      <c r="C77" s="1" t="s">
        <v>22</v>
      </c>
      <c r="D77" s="1" t="s">
        <v>117</v>
      </c>
      <c r="E77" s="3">
        <v>46084.64738903935</v>
      </c>
      <c r="F77" s="1">
        <v>-0.0499999999999999</v>
      </c>
      <c r="G77" s="1" t="s">
        <v>104</v>
      </c>
      <c r="H77" s="1">
        <v>131.0</v>
      </c>
      <c r="I77" s="1">
        <v>9.0</v>
      </c>
      <c r="J77" s="1">
        <v>45.0</v>
      </c>
      <c r="K77" s="1" t="s">
        <v>122</v>
      </c>
      <c r="L77" s="1" t="s">
        <v>17</v>
      </c>
      <c r="M77" s="1" t="s">
        <v>17</v>
      </c>
      <c r="N77" s="1" t="s">
        <v>34</v>
      </c>
    </row>
    <row r="78" ht="16.5" customHeight="1">
      <c r="A78" s="1">
        <v>235.0</v>
      </c>
      <c r="B78" s="1">
        <v>38.0</v>
      </c>
      <c r="C78" s="1" t="s">
        <v>14</v>
      </c>
      <c r="D78" s="1" t="s">
        <v>123</v>
      </c>
      <c r="E78" s="3">
        <v>46084.64772770833</v>
      </c>
      <c r="G78" s="1" t="s">
        <v>16</v>
      </c>
      <c r="H78" s="1">
        <v>132.0</v>
      </c>
      <c r="I78" s="1">
        <v>9.0</v>
      </c>
      <c r="K78" s="1" t="s">
        <v>16</v>
      </c>
      <c r="L78" s="1" t="s">
        <v>17</v>
      </c>
      <c r="M78" s="1" t="s">
        <v>18</v>
      </c>
      <c r="N78" s="1" t="s">
        <v>18</v>
      </c>
    </row>
    <row r="79" ht="16.5" customHeight="1">
      <c r="A79" s="1">
        <v>236.0</v>
      </c>
      <c r="B79" s="1">
        <v>38.0</v>
      </c>
      <c r="C79" s="1" t="s">
        <v>22</v>
      </c>
      <c r="D79" s="1" t="s">
        <v>117</v>
      </c>
      <c r="E79" s="3">
        <v>46084.648367974536</v>
      </c>
      <c r="F79" s="1">
        <v>-0.15</v>
      </c>
      <c r="G79" s="1" t="s">
        <v>104</v>
      </c>
      <c r="H79" s="1">
        <v>132.0</v>
      </c>
      <c r="I79" s="1">
        <v>10.0</v>
      </c>
      <c r="J79" s="1">
        <v>35.0</v>
      </c>
      <c r="K79" s="1" t="s">
        <v>124</v>
      </c>
      <c r="L79" s="1" t="s">
        <v>17</v>
      </c>
      <c r="M79" s="1" t="s">
        <v>17</v>
      </c>
      <c r="N79" s="1" t="s">
        <v>17</v>
      </c>
    </row>
    <row r="80" ht="16.5" customHeight="1">
      <c r="A80" s="1">
        <v>237.0</v>
      </c>
      <c r="B80" s="1">
        <v>38.0</v>
      </c>
      <c r="C80" s="1" t="s">
        <v>14</v>
      </c>
      <c r="D80" s="1" t="s">
        <v>125</v>
      </c>
      <c r="E80" s="3">
        <v>46084.648543773146</v>
      </c>
      <c r="G80" s="1" t="s">
        <v>16</v>
      </c>
      <c r="H80" s="1">
        <v>133.0</v>
      </c>
      <c r="I80" s="1">
        <v>10.0</v>
      </c>
      <c r="K80" s="1" t="s">
        <v>16</v>
      </c>
      <c r="L80" s="1" t="s">
        <v>17</v>
      </c>
      <c r="M80" s="1" t="s">
        <v>18</v>
      </c>
      <c r="N80" s="1" t="s">
        <v>18</v>
      </c>
    </row>
    <row r="81" ht="16.5" customHeight="1">
      <c r="A81" s="1">
        <v>239.0</v>
      </c>
      <c r="B81" s="1">
        <v>38.0</v>
      </c>
      <c r="C81" s="1" t="s">
        <v>14</v>
      </c>
      <c r="D81" s="1" t="s">
        <v>126</v>
      </c>
      <c r="E81" s="3">
        <v>46084.652328923614</v>
      </c>
      <c r="G81" s="1" t="s">
        <v>16</v>
      </c>
      <c r="H81" s="1">
        <v>134.0</v>
      </c>
      <c r="I81" s="1">
        <v>11.0</v>
      </c>
      <c r="K81" s="1" t="s">
        <v>16</v>
      </c>
      <c r="L81" s="1" t="s">
        <v>17</v>
      </c>
      <c r="M81" s="1" t="s">
        <v>18</v>
      </c>
      <c r="N81" s="1" t="s">
        <v>18</v>
      </c>
    </row>
    <row r="82" ht="16.5" customHeight="1">
      <c r="A82" s="1">
        <v>238.0</v>
      </c>
      <c r="B82" s="1">
        <v>38.0</v>
      </c>
      <c r="C82" s="1" t="s">
        <v>22</v>
      </c>
      <c r="D82" s="1" t="s">
        <v>106</v>
      </c>
      <c r="E82" s="3">
        <v>46084.65196530092</v>
      </c>
      <c r="F82" s="1">
        <v>-0.0499999999999999</v>
      </c>
      <c r="G82" s="1" t="s">
        <v>104</v>
      </c>
      <c r="H82" s="1">
        <v>133.0</v>
      </c>
      <c r="I82" s="1">
        <v>11.0</v>
      </c>
      <c r="J82" s="1">
        <v>45.0</v>
      </c>
      <c r="K82" s="1" t="s">
        <v>127</v>
      </c>
      <c r="L82" s="1" t="s">
        <v>17</v>
      </c>
      <c r="M82" s="1" t="s">
        <v>17</v>
      </c>
      <c r="N82" s="1" t="s">
        <v>34</v>
      </c>
    </row>
    <row r="83" ht="16.5" customHeight="1">
      <c r="A83" s="1">
        <v>241.0</v>
      </c>
      <c r="B83" s="1">
        <v>38.0</v>
      </c>
      <c r="C83" s="1" t="s">
        <v>14</v>
      </c>
      <c r="D83" s="1" t="s">
        <v>128</v>
      </c>
      <c r="E83" s="3">
        <v>46084.65469914352</v>
      </c>
      <c r="G83" s="1" t="s">
        <v>16</v>
      </c>
      <c r="H83" s="1">
        <v>135.0</v>
      </c>
      <c r="I83" s="1">
        <v>12.0</v>
      </c>
      <c r="K83" s="1" t="s">
        <v>16</v>
      </c>
      <c r="L83" s="1" t="s">
        <v>17</v>
      </c>
      <c r="M83" s="1" t="s">
        <v>18</v>
      </c>
      <c r="N83" s="1" t="s">
        <v>18</v>
      </c>
    </row>
    <row r="84" ht="16.5" customHeight="1">
      <c r="A84" s="1">
        <v>240.0</v>
      </c>
      <c r="B84" s="1">
        <v>38.0</v>
      </c>
      <c r="C84" s="1" t="s">
        <v>22</v>
      </c>
      <c r="D84" s="1" t="s">
        <v>117</v>
      </c>
      <c r="E84" s="3">
        <v>46084.65444366898</v>
      </c>
      <c r="F84" s="1">
        <v>-0.0499999999999999</v>
      </c>
      <c r="G84" s="1" t="s">
        <v>104</v>
      </c>
      <c r="H84" s="1">
        <v>134.0</v>
      </c>
      <c r="I84" s="1">
        <v>12.0</v>
      </c>
      <c r="J84" s="1">
        <v>45.0</v>
      </c>
      <c r="K84" s="1" t="s">
        <v>127</v>
      </c>
      <c r="L84" s="1" t="s">
        <v>17</v>
      </c>
      <c r="M84" s="1" t="s">
        <v>17</v>
      </c>
      <c r="N84" s="1" t="s">
        <v>34</v>
      </c>
    </row>
    <row r="85" ht="16.5" customHeight="1">
      <c r="A85" s="1">
        <v>243.0</v>
      </c>
      <c r="B85" s="1">
        <v>38.0</v>
      </c>
      <c r="C85" s="1" t="s">
        <v>14</v>
      </c>
      <c r="D85" s="1" t="s">
        <v>129</v>
      </c>
      <c r="E85" s="3">
        <v>46084.65576780093</v>
      </c>
      <c r="G85" s="1" t="s">
        <v>16</v>
      </c>
      <c r="H85" s="1">
        <v>136.0</v>
      </c>
      <c r="I85" s="1">
        <v>13.0</v>
      </c>
      <c r="K85" s="1" t="s">
        <v>16</v>
      </c>
      <c r="L85" s="1" t="s">
        <v>17</v>
      </c>
      <c r="M85" s="1" t="s">
        <v>18</v>
      </c>
      <c r="N85" s="1" t="s">
        <v>18</v>
      </c>
    </row>
    <row r="86" ht="16.5" customHeight="1">
      <c r="A86" s="1">
        <v>242.0</v>
      </c>
      <c r="B86" s="1">
        <v>38.0</v>
      </c>
      <c r="C86" s="1" t="s">
        <v>22</v>
      </c>
      <c r="D86" s="1" t="s">
        <v>106</v>
      </c>
      <c r="E86" s="3">
        <v>46084.65553133102</v>
      </c>
      <c r="F86" s="1">
        <v>-0.0499999999999999</v>
      </c>
      <c r="G86" s="1" t="s">
        <v>104</v>
      </c>
      <c r="H86" s="1">
        <v>135.0</v>
      </c>
      <c r="I86" s="1">
        <v>13.0</v>
      </c>
      <c r="J86" s="1">
        <v>45.0</v>
      </c>
      <c r="K86" s="1" t="s">
        <v>130</v>
      </c>
      <c r="L86" s="1" t="s">
        <v>17</v>
      </c>
      <c r="M86" s="1" t="s">
        <v>17</v>
      </c>
      <c r="N86" s="1" t="s">
        <v>34</v>
      </c>
    </row>
    <row r="87" ht="16.5" customHeight="1">
      <c r="A87" s="1">
        <v>245.0</v>
      </c>
      <c r="B87" s="1">
        <v>38.0</v>
      </c>
      <c r="C87" s="1" t="s">
        <v>14</v>
      </c>
      <c r="D87" s="1" t="s">
        <v>131</v>
      </c>
      <c r="E87" s="3">
        <v>46084.65640986111</v>
      </c>
      <c r="G87" s="1" t="s">
        <v>16</v>
      </c>
      <c r="H87" s="1">
        <v>137.0</v>
      </c>
      <c r="I87" s="1">
        <v>14.0</v>
      </c>
      <c r="K87" s="1" t="s">
        <v>16</v>
      </c>
      <c r="L87" s="1" t="s">
        <v>17</v>
      </c>
      <c r="M87" s="1" t="s">
        <v>18</v>
      </c>
      <c r="N87" s="1" t="s">
        <v>18</v>
      </c>
    </row>
    <row r="88" ht="16.5" customHeight="1">
      <c r="A88" s="1">
        <v>244.0</v>
      </c>
      <c r="B88" s="1">
        <v>38.0</v>
      </c>
      <c r="C88" s="1" t="s">
        <v>22</v>
      </c>
      <c r="D88" s="1" t="s">
        <v>106</v>
      </c>
      <c r="E88" s="3">
        <v>46084.65623878472</v>
      </c>
      <c r="F88" s="1">
        <v>-0.0499999999999999</v>
      </c>
      <c r="G88" s="1" t="s">
        <v>104</v>
      </c>
      <c r="H88" s="1">
        <v>136.0</v>
      </c>
      <c r="I88" s="1">
        <v>14.0</v>
      </c>
      <c r="J88" s="1">
        <v>45.0</v>
      </c>
      <c r="K88" s="1" t="s">
        <v>127</v>
      </c>
      <c r="L88" s="1" t="s">
        <v>17</v>
      </c>
      <c r="M88" s="1" t="s">
        <v>17</v>
      </c>
      <c r="N88" s="1" t="s">
        <v>34</v>
      </c>
    </row>
    <row r="89" ht="16.5" customHeight="1">
      <c r="A89" s="1">
        <v>247.0</v>
      </c>
      <c r="B89" s="1">
        <v>38.0</v>
      </c>
      <c r="C89" s="1" t="s">
        <v>14</v>
      </c>
      <c r="D89" s="1" t="s">
        <v>132</v>
      </c>
      <c r="E89" s="3">
        <v>46084.65749365741</v>
      </c>
      <c r="G89" s="1" t="s">
        <v>16</v>
      </c>
      <c r="H89" s="1">
        <v>138.0</v>
      </c>
      <c r="I89" s="1">
        <v>15.0</v>
      </c>
      <c r="K89" s="1" t="s">
        <v>16</v>
      </c>
      <c r="L89" s="1" t="s">
        <v>17</v>
      </c>
      <c r="M89" s="1" t="s">
        <v>18</v>
      </c>
      <c r="N89" s="1" t="s">
        <v>18</v>
      </c>
    </row>
    <row r="90" ht="16.5" customHeight="1">
      <c r="A90" s="1">
        <v>246.0</v>
      </c>
      <c r="B90" s="1">
        <v>38.0</v>
      </c>
      <c r="C90" s="1" t="s">
        <v>22</v>
      </c>
      <c r="D90" s="1" t="s">
        <v>133</v>
      </c>
      <c r="E90" s="3">
        <v>46084.657493125</v>
      </c>
      <c r="F90" s="1">
        <v>-0.15</v>
      </c>
      <c r="G90" s="1" t="s">
        <v>104</v>
      </c>
      <c r="H90" s="1">
        <v>137.0</v>
      </c>
      <c r="I90" s="1">
        <v>15.0</v>
      </c>
      <c r="J90" s="1">
        <v>35.0</v>
      </c>
      <c r="K90" s="1" t="s">
        <v>134</v>
      </c>
      <c r="L90" s="1" t="s">
        <v>17</v>
      </c>
      <c r="M90" s="1" t="s">
        <v>17</v>
      </c>
      <c r="N90" s="1" t="s">
        <v>17</v>
      </c>
    </row>
    <row r="91" ht="16.5" customHeight="1">
      <c r="A91" s="1">
        <v>248.0</v>
      </c>
      <c r="B91" s="1">
        <v>38.0</v>
      </c>
      <c r="C91" s="1" t="s">
        <v>22</v>
      </c>
      <c r="D91" s="1" t="s">
        <v>135</v>
      </c>
      <c r="E91" s="3">
        <v>46084.65848986111</v>
      </c>
      <c r="F91" s="1">
        <v>-0.0999999999999999</v>
      </c>
      <c r="G91" s="1" t="s">
        <v>104</v>
      </c>
      <c r="H91" s="1">
        <v>138.0</v>
      </c>
      <c r="I91" s="1">
        <v>16.0</v>
      </c>
      <c r="J91" s="1">
        <v>40.0</v>
      </c>
      <c r="K91" s="1" t="s">
        <v>136</v>
      </c>
      <c r="L91" s="1" t="s">
        <v>17</v>
      </c>
      <c r="M91" s="1" t="s">
        <v>17</v>
      </c>
      <c r="N91" s="1" t="s">
        <v>17</v>
      </c>
    </row>
    <row r="92" ht="16.5" customHeight="1">
      <c r="A92" s="1">
        <v>1.0</v>
      </c>
      <c r="C92" s="1" t="s">
        <v>137</v>
      </c>
      <c r="D92" s="1" t="s">
        <v>138</v>
      </c>
      <c r="I92" s="1">
        <v>1.0</v>
      </c>
      <c r="L92" s="1" t="s">
        <v>17</v>
      </c>
      <c r="M92" s="1" t="s">
        <v>18</v>
      </c>
      <c r="N92" s="1" t="s">
        <v>18</v>
      </c>
    </row>
    <row r="93" ht="16.5" customHeight="1">
      <c r="A93" s="1">
        <v>2.0</v>
      </c>
      <c r="C93" s="1" t="s">
        <v>139</v>
      </c>
      <c r="D93" s="1" t="s">
        <v>140</v>
      </c>
      <c r="I93" s="1">
        <v>2.0</v>
      </c>
      <c r="L93" s="1" t="s">
        <v>17</v>
      </c>
      <c r="M93" s="1" t="s">
        <v>17</v>
      </c>
      <c r="N93" s="1" t="s">
        <v>18</v>
      </c>
    </row>
    <row r="94" ht="16.5" customHeight="1">
      <c r="A94" s="1">
        <v>3.0</v>
      </c>
      <c r="C94" s="1" t="s">
        <v>137</v>
      </c>
      <c r="D94" s="1" t="s">
        <v>141</v>
      </c>
      <c r="I94" s="1">
        <v>3.0</v>
      </c>
      <c r="L94" s="1" t="s">
        <v>17</v>
      </c>
      <c r="M94" s="1" t="s">
        <v>18</v>
      </c>
      <c r="N94" s="1" t="s">
        <v>18</v>
      </c>
    </row>
    <row r="95" ht="16.5" customHeight="1">
      <c r="A95" s="1">
        <v>4.0</v>
      </c>
      <c r="C95" s="1" t="s">
        <v>139</v>
      </c>
      <c r="D95" s="1" t="s">
        <v>142</v>
      </c>
      <c r="I95" s="1">
        <v>4.0</v>
      </c>
      <c r="L95" s="1" t="s">
        <v>17</v>
      </c>
      <c r="M95" s="1" t="s">
        <v>17</v>
      </c>
      <c r="N95" s="1" t="s">
        <v>18</v>
      </c>
    </row>
    <row r="96" ht="16.5" customHeight="1">
      <c r="A96" s="1">
        <v>5.0</v>
      </c>
      <c r="C96" s="1" t="s">
        <v>137</v>
      </c>
      <c r="D96" s="1" t="s">
        <v>143</v>
      </c>
      <c r="I96" s="1">
        <v>5.0</v>
      </c>
      <c r="L96" s="1" t="s">
        <v>17</v>
      </c>
      <c r="M96" s="1" t="s">
        <v>18</v>
      </c>
      <c r="N96" s="1" t="s">
        <v>18</v>
      </c>
    </row>
    <row r="97" ht="16.5" customHeight="1">
      <c r="A97" s="1">
        <v>6.0</v>
      </c>
      <c r="C97" s="1" t="s">
        <v>139</v>
      </c>
      <c r="D97" s="1" t="s">
        <v>144</v>
      </c>
      <c r="I97" s="1">
        <v>6.0</v>
      </c>
      <c r="L97" s="1" t="s">
        <v>17</v>
      </c>
      <c r="M97" s="1" t="s">
        <v>17</v>
      </c>
      <c r="N97" s="1" t="s">
        <v>18</v>
      </c>
    </row>
    <row r="98" ht="16.5" customHeight="1">
      <c r="A98" s="1">
        <v>7.0</v>
      </c>
      <c r="C98" s="1" t="s">
        <v>137</v>
      </c>
      <c r="D98" s="1" t="s">
        <v>145</v>
      </c>
      <c r="I98" s="1">
        <v>7.0</v>
      </c>
      <c r="L98" s="1" t="s">
        <v>17</v>
      </c>
      <c r="M98" s="1" t="s">
        <v>18</v>
      </c>
      <c r="N98" s="1" t="s">
        <v>18</v>
      </c>
    </row>
    <row r="99" ht="16.5" customHeight="1">
      <c r="A99" s="1">
        <v>8.0</v>
      </c>
      <c r="C99" s="1" t="s">
        <v>139</v>
      </c>
      <c r="D99" s="1" t="s">
        <v>146</v>
      </c>
      <c r="I99" s="1">
        <v>8.0</v>
      </c>
      <c r="L99" s="1" t="s">
        <v>17</v>
      </c>
      <c r="M99" s="1" t="s">
        <v>17</v>
      </c>
      <c r="N99" s="1" t="s">
        <v>18</v>
      </c>
    </row>
    <row r="100" ht="16.5" customHeight="1">
      <c r="A100" s="1">
        <v>9.0</v>
      </c>
      <c r="C100" s="1" t="s">
        <v>137</v>
      </c>
      <c r="D100" s="1" t="s">
        <v>147</v>
      </c>
      <c r="I100" s="1">
        <v>9.0</v>
      </c>
      <c r="L100" s="1" t="s">
        <v>17</v>
      </c>
      <c r="M100" s="1" t="s">
        <v>18</v>
      </c>
      <c r="N100" s="1" t="s">
        <v>18</v>
      </c>
    </row>
    <row r="101" ht="16.5" customHeight="1">
      <c r="A101" s="1">
        <v>10.0</v>
      </c>
      <c r="C101" s="1" t="s">
        <v>139</v>
      </c>
      <c r="D101" s="1" t="s">
        <v>148</v>
      </c>
      <c r="I101" s="1">
        <v>10.0</v>
      </c>
      <c r="L101" s="1" t="s">
        <v>17</v>
      </c>
      <c r="M101" s="1" t="s">
        <v>17</v>
      </c>
      <c r="N101" s="1" t="s">
        <v>18</v>
      </c>
    </row>
    <row r="102" ht="16.5" customHeight="1">
      <c r="A102" s="1">
        <v>11.0</v>
      </c>
      <c r="C102" s="1" t="s">
        <v>137</v>
      </c>
      <c r="D102" s="1" t="s">
        <v>149</v>
      </c>
      <c r="I102" s="1">
        <v>11.0</v>
      </c>
      <c r="L102" s="1" t="s">
        <v>17</v>
      </c>
      <c r="M102" s="1" t="s">
        <v>18</v>
      </c>
      <c r="N102" s="1" t="s">
        <v>18</v>
      </c>
    </row>
    <row r="103" ht="16.5" customHeight="1">
      <c r="A103" s="1">
        <v>12.0</v>
      </c>
      <c r="C103" s="1" t="s">
        <v>139</v>
      </c>
      <c r="D103" s="1" t="s">
        <v>150</v>
      </c>
      <c r="I103" s="1">
        <v>12.0</v>
      </c>
      <c r="L103" s="1" t="s">
        <v>17</v>
      </c>
      <c r="M103" s="1" t="s">
        <v>17</v>
      </c>
      <c r="N103" s="1" t="s">
        <v>18</v>
      </c>
    </row>
    <row r="104" ht="16.5" customHeight="1">
      <c r="A104" s="1">
        <v>13.0</v>
      </c>
      <c r="C104" s="1" t="s">
        <v>137</v>
      </c>
      <c r="D104" s="1" t="s">
        <v>151</v>
      </c>
      <c r="I104" s="1">
        <v>13.0</v>
      </c>
      <c r="L104" s="1" t="s">
        <v>17</v>
      </c>
      <c r="M104" s="1" t="s">
        <v>18</v>
      </c>
      <c r="N104" s="1" t="s">
        <v>18</v>
      </c>
    </row>
    <row r="105" ht="16.5" customHeight="1">
      <c r="A105" s="1">
        <v>14.0</v>
      </c>
      <c r="C105" s="1" t="s">
        <v>139</v>
      </c>
      <c r="D105" s="1" t="s">
        <v>152</v>
      </c>
      <c r="I105" s="1">
        <v>14.0</v>
      </c>
      <c r="L105" s="1" t="s">
        <v>17</v>
      </c>
      <c r="M105" s="1" t="s">
        <v>17</v>
      </c>
      <c r="N105" s="1" t="s">
        <v>18</v>
      </c>
    </row>
    <row r="106" ht="16.5" customHeight="1">
      <c r="A106" s="1">
        <v>15.0</v>
      </c>
      <c r="C106" s="1" t="s">
        <v>137</v>
      </c>
      <c r="D106" s="1" t="s">
        <v>153</v>
      </c>
      <c r="I106" s="1">
        <v>15.0</v>
      </c>
      <c r="L106" s="1" t="s">
        <v>17</v>
      </c>
      <c r="M106" s="1" t="s">
        <v>18</v>
      </c>
      <c r="N106" s="1" t="s">
        <v>18</v>
      </c>
    </row>
    <row r="107" ht="16.5" customHeight="1">
      <c r="A107" s="1">
        <v>16.0</v>
      </c>
      <c r="C107" s="1" t="s">
        <v>139</v>
      </c>
      <c r="D107" s="1" t="s">
        <v>154</v>
      </c>
      <c r="I107" s="1">
        <v>16.0</v>
      </c>
      <c r="L107" s="1" t="s">
        <v>17</v>
      </c>
      <c r="M107" s="1" t="s">
        <v>17</v>
      </c>
      <c r="N107" s="1" t="s">
        <v>18</v>
      </c>
    </row>
    <row r="108" ht="16.5" customHeight="1">
      <c r="A108" s="1">
        <v>17.0</v>
      </c>
      <c r="C108" s="1" t="s">
        <v>137</v>
      </c>
      <c r="D108" s="1" t="s">
        <v>155</v>
      </c>
      <c r="I108" s="1">
        <v>17.0</v>
      </c>
      <c r="L108" s="1" t="s">
        <v>17</v>
      </c>
      <c r="M108" s="1" t="s">
        <v>18</v>
      </c>
      <c r="N108" s="1" t="s">
        <v>18</v>
      </c>
    </row>
    <row r="109" ht="16.5" customHeight="1">
      <c r="A109" s="1">
        <v>18.0</v>
      </c>
      <c r="C109" s="1" t="s">
        <v>139</v>
      </c>
      <c r="D109" s="1" t="s">
        <v>156</v>
      </c>
      <c r="I109" s="1">
        <v>18.0</v>
      </c>
      <c r="L109" s="1" t="s">
        <v>17</v>
      </c>
      <c r="M109" s="1" t="s">
        <v>17</v>
      </c>
      <c r="N109" s="1" t="s">
        <v>18</v>
      </c>
    </row>
    <row r="110" ht="16.5" customHeight="1">
      <c r="A110" s="1">
        <v>19.0</v>
      </c>
      <c r="C110" s="1" t="s">
        <v>137</v>
      </c>
      <c r="D110" s="1" t="s">
        <v>157</v>
      </c>
      <c r="I110" s="1">
        <v>19.0</v>
      </c>
      <c r="L110" s="1" t="s">
        <v>17</v>
      </c>
      <c r="M110" s="1" t="s">
        <v>18</v>
      </c>
      <c r="N110" s="1" t="s">
        <v>18</v>
      </c>
    </row>
    <row r="111" ht="16.5" customHeight="1">
      <c r="A111" s="1">
        <v>20.0</v>
      </c>
      <c r="C111" s="1" t="s">
        <v>139</v>
      </c>
      <c r="D111" s="1" t="s">
        <v>158</v>
      </c>
      <c r="I111" s="1">
        <v>20.0</v>
      </c>
      <c r="L111" s="1" t="s">
        <v>17</v>
      </c>
      <c r="M111" s="1" t="s">
        <v>17</v>
      </c>
      <c r="N111" s="1" t="s">
        <v>18</v>
      </c>
    </row>
    <row r="112" ht="16.5" customHeight="1">
      <c r="A112" s="1">
        <v>21.0</v>
      </c>
      <c r="C112" s="1" t="s">
        <v>137</v>
      </c>
      <c r="D112" s="1" t="s">
        <v>159</v>
      </c>
      <c r="I112" s="1">
        <v>21.0</v>
      </c>
      <c r="L112" s="1" t="s">
        <v>17</v>
      </c>
      <c r="M112" s="1" t="s">
        <v>18</v>
      </c>
      <c r="N112" s="1" t="s">
        <v>18</v>
      </c>
    </row>
    <row r="113" ht="16.5" customHeight="1">
      <c r="A113" s="1">
        <v>22.0</v>
      </c>
      <c r="C113" s="1" t="s">
        <v>139</v>
      </c>
      <c r="D113" s="1" t="s">
        <v>160</v>
      </c>
      <c r="I113" s="1">
        <v>22.0</v>
      </c>
      <c r="L113" s="1" t="s">
        <v>17</v>
      </c>
      <c r="M113" s="1" t="s">
        <v>17</v>
      </c>
      <c r="N113" s="1" t="s">
        <v>18</v>
      </c>
    </row>
    <row r="114" ht="16.5" customHeight="1">
      <c r="A114" s="1">
        <v>23.0</v>
      </c>
      <c r="C114" s="1" t="s">
        <v>137</v>
      </c>
      <c r="D114" s="1" t="s">
        <v>161</v>
      </c>
      <c r="I114" s="1">
        <v>23.0</v>
      </c>
      <c r="L114" s="1" t="s">
        <v>17</v>
      </c>
      <c r="M114" s="1" t="s">
        <v>18</v>
      </c>
      <c r="N114" s="1" t="s">
        <v>18</v>
      </c>
    </row>
    <row r="115" ht="16.5" customHeight="1">
      <c r="A115" s="1">
        <v>24.0</v>
      </c>
      <c r="C115" s="1" t="s">
        <v>139</v>
      </c>
      <c r="D115" s="1" t="s">
        <v>162</v>
      </c>
      <c r="I115" s="1">
        <v>24.0</v>
      </c>
      <c r="L115" s="1" t="s">
        <v>17</v>
      </c>
      <c r="M115" s="1" t="s">
        <v>17</v>
      </c>
      <c r="N115" s="1" t="s">
        <v>18</v>
      </c>
    </row>
    <row r="116" ht="16.5" customHeight="1">
      <c r="A116" s="1">
        <v>25.0</v>
      </c>
      <c r="C116" s="1" t="s">
        <v>137</v>
      </c>
      <c r="D116" s="1" t="s">
        <v>163</v>
      </c>
      <c r="I116" s="1">
        <v>25.0</v>
      </c>
      <c r="L116" s="1" t="s">
        <v>17</v>
      </c>
      <c r="M116" s="1" t="s">
        <v>18</v>
      </c>
      <c r="N116" s="1" t="s">
        <v>18</v>
      </c>
    </row>
    <row r="117" ht="16.5" customHeight="1">
      <c r="A117" s="1">
        <v>26.0</v>
      </c>
      <c r="C117" s="1" t="s">
        <v>139</v>
      </c>
      <c r="D117" s="1" t="s">
        <v>164</v>
      </c>
      <c r="I117" s="1">
        <v>26.0</v>
      </c>
      <c r="L117" s="1" t="s">
        <v>17</v>
      </c>
      <c r="M117" s="1" t="s">
        <v>17</v>
      </c>
      <c r="N117" s="1" t="s">
        <v>18</v>
      </c>
    </row>
    <row r="118" ht="16.5" customHeight="1">
      <c r="A118" s="1">
        <v>27.0</v>
      </c>
      <c r="C118" s="1" t="s">
        <v>137</v>
      </c>
      <c r="D118" s="1" t="s">
        <v>165</v>
      </c>
      <c r="I118" s="1">
        <v>27.0</v>
      </c>
      <c r="L118" s="1" t="s">
        <v>17</v>
      </c>
      <c r="M118" s="1" t="s">
        <v>18</v>
      </c>
      <c r="N118" s="1" t="s">
        <v>18</v>
      </c>
    </row>
    <row r="119" ht="16.5" customHeight="1">
      <c r="A119" s="1">
        <v>28.0</v>
      </c>
      <c r="C119" s="1" t="s">
        <v>139</v>
      </c>
      <c r="D119" s="1" t="s">
        <v>166</v>
      </c>
      <c r="I119" s="1">
        <v>28.0</v>
      </c>
      <c r="L119" s="1" t="s">
        <v>17</v>
      </c>
      <c r="M119" s="1" t="s">
        <v>17</v>
      </c>
      <c r="N119" s="1" t="s">
        <v>18</v>
      </c>
    </row>
    <row r="120" ht="16.5" customHeight="1">
      <c r="A120" s="1">
        <v>29.0</v>
      </c>
      <c r="C120" s="1" t="s">
        <v>137</v>
      </c>
      <c r="D120" s="1" t="s">
        <v>167</v>
      </c>
      <c r="I120" s="1">
        <v>29.0</v>
      </c>
      <c r="L120" s="1" t="s">
        <v>17</v>
      </c>
      <c r="M120" s="1" t="s">
        <v>18</v>
      </c>
      <c r="N120" s="1" t="s">
        <v>18</v>
      </c>
    </row>
    <row r="121" ht="16.5" customHeight="1">
      <c r="A121" s="1">
        <v>30.0</v>
      </c>
      <c r="C121" s="1" t="s">
        <v>139</v>
      </c>
      <c r="D121" s="1" t="s">
        <v>168</v>
      </c>
      <c r="I121" s="1">
        <v>30.0</v>
      </c>
      <c r="L121" s="1" t="s">
        <v>17</v>
      </c>
      <c r="M121" s="1" t="s">
        <v>17</v>
      </c>
      <c r="N121" s="1" t="s">
        <v>18</v>
      </c>
    </row>
    <row r="122" ht="16.5" customHeight="1">
      <c r="A122" s="1">
        <v>22.0</v>
      </c>
      <c r="B122" s="1">
        <v>5.0</v>
      </c>
      <c r="C122" s="1" t="s">
        <v>14</v>
      </c>
      <c r="D122" s="1" t="s">
        <v>169</v>
      </c>
      <c r="E122" s="8">
        <v>46087.42434027778</v>
      </c>
      <c r="G122" s="1" t="s">
        <v>16</v>
      </c>
      <c r="H122" s="1">
        <v>16.0</v>
      </c>
      <c r="I122" s="1">
        <v>4.0</v>
      </c>
      <c r="K122" s="1" t="s">
        <v>16</v>
      </c>
      <c r="L122" s="1" t="s">
        <v>17</v>
      </c>
      <c r="M122" s="1" t="s">
        <v>18</v>
      </c>
      <c r="N122" s="1" t="s">
        <v>18</v>
      </c>
    </row>
    <row r="123" ht="16.5" customHeight="1">
      <c r="A123" s="1">
        <v>19.0</v>
      </c>
      <c r="B123" s="1">
        <v>5.0</v>
      </c>
      <c r="C123" s="1" t="s">
        <v>22</v>
      </c>
      <c r="D123" s="1" t="s">
        <v>170</v>
      </c>
      <c r="E123" s="3">
        <v>46087.42262935185</v>
      </c>
      <c r="F123" s="1">
        <v>84.6</v>
      </c>
      <c r="G123" s="1" t="s">
        <v>171</v>
      </c>
      <c r="H123" s="1">
        <v>13.0</v>
      </c>
      <c r="I123" s="1">
        <v>4.0</v>
      </c>
      <c r="J123" s="1">
        <v>55.0</v>
      </c>
      <c r="K123" s="1" t="s">
        <v>172</v>
      </c>
      <c r="L123" s="1" t="s">
        <v>17</v>
      </c>
      <c r="M123" s="1" t="s">
        <v>17</v>
      </c>
      <c r="N123" s="1" t="s">
        <v>17</v>
      </c>
    </row>
    <row r="124" ht="16.5" customHeight="1">
      <c r="A124" s="1">
        <v>24.0</v>
      </c>
      <c r="B124" s="1">
        <v>5.0</v>
      </c>
      <c r="C124" s="1" t="s">
        <v>14</v>
      </c>
      <c r="D124" s="1" t="s">
        <v>26</v>
      </c>
      <c r="E124" s="3">
        <v>46087.425181736115</v>
      </c>
      <c r="G124" s="1" t="s">
        <v>16</v>
      </c>
      <c r="H124" s="1">
        <v>17.0</v>
      </c>
      <c r="I124" s="1">
        <v>5.0</v>
      </c>
      <c r="K124" s="1" t="s">
        <v>16</v>
      </c>
      <c r="L124" s="1" t="s">
        <v>17</v>
      </c>
      <c r="M124" s="1" t="s">
        <v>18</v>
      </c>
      <c r="N124" s="1" t="s">
        <v>18</v>
      </c>
    </row>
    <row r="125" ht="16.5" customHeight="1">
      <c r="A125" s="1">
        <v>20.0</v>
      </c>
      <c r="B125" s="1">
        <v>5.0</v>
      </c>
      <c r="C125" s="1" t="s">
        <v>22</v>
      </c>
      <c r="D125" s="1" t="s">
        <v>173</v>
      </c>
      <c r="E125" s="3">
        <v>46087.423348530094</v>
      </c>
      <c r="F125" s="1">
        <v>88.8</v>
      </c>
      <c r="G125" s="1" t="s">
        <v>174</v>
      </c>
      <c r="H125" s="1">
        <v>14.0</v>
      </c>
      <c r="I125" s="1">
        <v>5.0</v>
      </c>
      <c r="J125" s="1">
        <v>58.0</v>
      </c>
      <c r="K125" s="1" t="s">
        <v>175</v>
      </c>
      <c r="L125" s="1" t="s">
        <v>17</v>
      </c>
      <c r="M125" s="1" t="s">
        <v>17</v>
      </c>
      <c r="N125" s="1" t="s">
        <v>17</v>
      </c>
    </row>
    <row r="126" ht="16.5" customHeight="1">
      <c r="A126" s="1">
        <v>23.0</v>
      </c>
      <c r="B126" s="1">
        <v>5.0</v>
      </c>
      <c r="C126" s="1" t="s">
        <v>22</v>
      </c>
      <c r="D126" s="1" t="s">
        <v>176</v>
      </c>
      <c r="E126" s="3">
        <v>46087.42518126158</v>
      </c>
      <c r="F126" s="1">
        <v>88.1</v>
      </c>
      <c r="G126" s="1" t="s">
        <v>177</v>
      </c>
      <c r="H126" s="1">
        <v>16.0</v>
      </c>
      <c r="I126" s="1">
        <v>5.0</v>
      </c>
      <c r="J126" s="1">
        <v>65.0</v>
      </c>
      <c r="K126" s="1" t="s">
        <v>178</v>
      </c>
      <c r="L126" s="1" t="s">
        <v>17</v>
      </c>
      <c r="M126" s="1" t="s">
        <v>17</v>
      </c>
      <c r="N126" s="1" t="s">
        <v>17</v>
      </c>
    </row>
    <row r="127" ht="16.5" customHeight="1">
      <c r="A127" s="1">
        <v>26.0</v>
      </c>
      <c r="B127" s="1">
        <v>5.0</v>
      </c>
      <c r="C127" s="1" t="s">
        <v>14</v>
      </c>
      <c r="D127" s="1" t="s">
        <v>179</v>
      </c>
      <c r="E127" s="3">
        <v>46087.42647831018</v>
      </c>
      <c r="G127" s="1" t="s">
        <v>16</v>
      </c>
      <c r="H127" s="1">
        <v>18.0</v>
      </c>
      <c r="I127" s="1">
        <v>6.0</v>
      </c>
      <c r="K127" s="1" t="s">
        <v>16</v>
      </c>
      <c r="L127" s="1" t="s">
        <v>17</v>
      </c>
      <c r="M127" s="1" t="s">
        <v>18</v>
      </c>
      <c r="N127" s="1" t="s">
        <v>18</v>
      </c>
    </row>
    <row r="128" ht="16.5" customHeight="1">
      <c r="A128" s="1">
        <v>25.0</v>
      </c>
      <c r="B128" s="1">
        <v>5.0</v>
      </c>
      <c r="C128" s="1" t="s">
        <v>22</v>
      </c>
      <c r="D128" s="1" t="s">
        <v>180</v>
      </c>
      <c r="E128" s="3">
        <v>46087.42627483796</v>
      </c>
      <c r="F128" s="1">
        <v>87.9</v>
      </c>
      <c r="G128" s="1" t="s">
        <v>181</v>
      </c>
      <c r="H128" s="1">
        <v>17.0</v>
      </c>
      <c r="I128" s="1">
        <v>6.0</v>
      </c>
      <c r="J128" s="1">
        <v>45.0</v>
      </c>
      <c r="K128" s="1" t="s">
        <v>182</v>
      </c>
      <c r="L128" s="1" t="s">
        <v>17</v>
      </c>
      <c r="M128" s="1" t="s">
        <v>17</v>
      </c>
      <c r="N128" s="1" t="s">
        <v>34</v>
      </c>
    </row>
    <row r="129" ht="16.5" customHeight="1">
      <c r="A129" s="1">
        <v>21.0</v>
      </c>
      <c r="B129" s="1">
        <v>5.0</v>
      </c>
      <c r="C129" s="1" t="s">
        <v>22</v>
      </c>
      <c r="D129" s="1" t="s">
        <v>183</v>
      </c>
      <c r="E129" s="3">
        <v>46087.42413209491</v>
      </c>
      <c r="F129" s="1">
        <v>87.7</v>
      </c>
      <c r="G129" s="1" t="s">
        <v>184</v>
      </c>
      <c r="H129" s="1">
        <v>15.0</v>
      </c>
      <c r="I129" s="1">
        <v>6.0</v>
      </c>
      <c r="J129" s="1">
        <v>45.0</v>
      </c>
      <c r="K129" s="1" t="s">
        <v>185</v>
      </c>
      <c r="L129" s="1" t="s">
        <v>17</v>
      </c>
      <c r="M129" s="1" t="s">
        <v>17</v>
      </c>
      <c r="N129" s="1" t="s">
        <v>34</v>
      </c>
    </row>
    <row r="130" ht="16.5" customHeight="1">
      <c r="A130" s="1">
        <v>28.0</v>
      </c>
      <c r="B130" s="1">
        <v>5.0</v>
      </c>
      <c r="C130" s="1" t="s">
        <v>14</v>
      </c>
      <c r="D130" s="1" t="s">
        <v>38</v>
      </c>
      <c r="E130" s="3">
        <v>46087.42772685185</v>
      </c>
      <c r="G130" s="1" t="s">
        <v>16</v>
      </c>
      <c r="H130" s="1">
        <v>19.0</v>
      </c>
      <c r="I130" s="1">
        <v>7.0</v>
      </c>
      <c r="K130" s="1" t="s">
        <v>16</v>
      </c>
      <c r="L130" s="1" t="s">
        <v>17</v>
      </c>
      <c r="M130" s="1" t="s">
        <v>18</v>
      </c>
      <c r="N130" s="1" t="s">
        <v>18</v>
      </c>
    </row>
    <row r="131" ht="16.5" customHeight="1">
      <c r="A131" s="1">
        <v>27.0</v>
      </c>
      <c r="B131" s="1">
        <v>5.0</v>
      </c>
      <c r="C131" s="1" t="s">
        <v>22</v>
      </c>
      <c r="D131" s="1" t="s">
        <v>186</v>
      </c>
      <c r="E131" s="3">
        <v>46087.42772594908</v>
      </c>
      <c r="F131" s="1">
        <v>86.6</v>
      </c>
      <c r="G131" s="1" t="s">
        <v>187</v>
      </c>
      <c r="H131" s="1">
        <v>18.0</v>
      </c>
      <c r="I131" s="1">
        <v>7.0</v>
      </c>
      <c r="J131" s="1">
        <v>65.0</v>
      </c>
      <c r="K131" s="1" t="s">
        <v>69</v>
      </c>
      <c r="L131" s="1" t="s">
        <v>17</v>
      </c>
      <c r="M131" s="1" t="s">
        <v>17</v>
      </c>
      <c r="N131" s="1" t="s">
        <v>17</v>
      </c>
    </row>
    <row r="132" ht="16.5" customHeight="1">
      <c r="A132" s="1">
        <v>30.0</v>
      </c>
      <c r="B132" s="1">
        <v>5.0</v>
      </c>
      <c r="C132" s="1" t="s">
        <v>14</v>
      </c>
      <c r="D132" s="1" t="s">
        <v>188</v>
      </c>
      <c r="E132" s="3">
        <v>46087.42924804398</v>
      </c>
      <c r="G132" s="1" t="s">
        <v>16</v>
      </c>
      <c r="H132" s="1">
        <v>20.0</v>
      </c>
      <c r="I132" s="1">
        <v>8.0</v>
      </c>
      <c r="K132" s="1" t="s">
        <v>16</v>
      </c>
      <c r="L132" s="1" t="s">
        <v>17</v>
      </c>
      <c r="M132" s="1" t="s">
        <v>18</v>
      </c>
      <c r="N132" s="1" t="s">
        <v>18</v>
      </c>
    </row>
    <row r="133" ht="16.5" customHeight="1">
      <c r="A133" s="1">
        <v>29.0</v>
      </c>
      <c r="B133" s="1">
        <v>5.0</v>
      </c>
      <c r="C133" s="1" t="s">
        <v>22</v>
      </c>
      <c r="D133" s="1" t="s">
        <v>189</v>
      </c>
      <c r="E133" s="3">
        <v>46087.42895277778</v>
      </c>
      <c r="F133" s="1">
        <v>84.2</v>
      </c>
      <c r="G133" s="1" t="s">
        <v>190</v>
      </c>
      <c r="H133" s="1">
        <v>19.0</v>
      </c>
      <c r="I133" s="1">
        <v>8.0</v>
      </c>
      <c r="J133" s="1">
        <v>65.0</v>
      </c>
      <c r="K133" s="1" t="s">
        <v>69</v>
      </c>
      <c r="L133" s="1" t="s">
        <v>17</v>
      </c>
      <c r="M133" s="1" t="s">
        <v>17</v>
      </c>
      <c r="N133" s="1" t="s">
        <v>17</v>
      </c>
    </row>
    <row r="134" ht="16.5" customHeight="1">
      <c r="A134" s="1">
        <v>32.0</v>
      </c>
      <c r="B134" s="1">
        <v>5.0</v>
      </c>
      <c r="C134" s="1" t="s">
        <v>14</v>
      </c>
      <c r="D134" s="1" t="s">
        <v>191</v>
      </c>
      <c r="E134" s="3">
        <v>46087.43038672454</v>
      </c>
      <c r="G134" s="1" t="s">
        <v>16</v>
      </c>
      <c r="H134" s="1">
        <v>21.0</v>
      </c>
      <c r="I134" s="1">
        <v>9.0</v>
      </c>
      <c r="K134" s="1" t="s">
        <v>16</v>
      </c>
      <c r="L134" s="1" t="s">
        <v>17</v>
      </c>
      <c r="M134" s="1" t="s">
        <v>18</v>
      </c>
      <c r="N134" s="1" t="s">
        <v>18</v>
      </c>
    </row>
    <row r="135" ht="16.5" customHeight="1">
      <c r="A135" s="1">
        <v>31.0</v>
      </c>
      <c r="B135" s="1">
        <v>5.0</v>
      </c>
      <c r="C135" s="1" t="s">
        <v>22</v>
      </c>
      <c r="D135" s="1" t="s">
        <v>192</v>
      </c>
      <c r="E135" s="3">
        <v>46087.43020173611</v>
      </c>
      <c r="F135" s="1">
        <v>83.6</v>
      </c>
      <c r="G135" s="1" t="s">
        <v>193</v>
      </c>
      <c r="H135" s="1">
        <v>20.0</v>
      </c>
      <c r="I135" s="1">
        <v>9.0</v>
      </c>
      <c r="J135" s="1">
        <v>68.0</v>
      </c>
      <c r="K135" s="1" t="s">
        <v>194</v>
      </c>
      <c r="L135" s="1" t="s">
        <v>17</v>
      </c>
      <c r="M135" s="1" t="s">
        <v>17</v>
      </c>
      <c r="N135" s="1" t="s">
        <v>17</v>
      </c>
    </row>
    <row r="136" ht="16.5" customHeight="1">
      <c r="A136" s="1">
        <v>34.0</v>
      </c>
      <c r="B136" s="1">
        <v>5.0</v>
      </c>
      <c r="C136" s="1" t="s">
        <v>14</v>
      </c>
      <c r="D136" s="1" t="s">
        <v>195</v>
      </c>
      <c r="E136" s="3">
        <v>46087.431875856484</v>
      </c>
      <c r="G136" s="1" t="s">
        <v>16</v>
      </c>
      <c r="H136" s="1">
        <v>22.0</v>
      </c>
      <c r="I136" s="1">
        <v>10.0</v>
      </c>
      <c r="K136" s="1" t="s">
        <v>16</v>
      </c>
      <c r="L136" s="1" t="s">
        <v>17</v>
      </c>
      <c r="M136" s="1" t="s">
        <v>18</v>
      </c>
      <c r="N136" s="1" t="s">
        <v>18</v>
      </c>
    </row>
    <row r="137" ht="16.5" customHeight="1">
      <c r="A137" s="1">
        <v>33.0</v>
      </c>
      <c r="B137" s="1">
        <v>5.0</v>
      </c>
      <c r="C137" s="1" t="s">
        <v>22</v>
      </c>
      <c r="D137" s="1" t="s">
        <v>196</v>
      </c>
      <c r="E137" s="3">
        <v>46087.431668310186</v>
      </c>
      <c r="F137" s="1">
        <v>85.4</v>
      </c>
      <c r="G137" s="1" t="s">
        <v>197</v>
      </c>
      <c r="H137" s="1">
        <v>21.0</v>
      </c>
      <c r="I137" s="1">
        <v>10.0</v>
      </c>
      <c r="J137" s="1">
        <v>55.0</v>
      </c>
      <c r="K137" s="1" t="s">
        <v>198</v>
      </c>
      <c r="L137" s="1" t="s">
        <v>17</v>
      </c>
      <c r="M137" s="1" t="s">
        <v>17</v>
      </c>
      <c r="N137" s="1" t="s">
        <v>17</v>
      </c>
    </row>
    <row r="138" ht="16.5" customHeight="1">
      <c r="A138" s="1">
        <v>36.0</v>
      </c>
      <c r="B138" s="1">
        <v>5.0</v>
      </c>
      <c r="C138" s="1" t="s">
        <v>14</v>
      </c>
      <c r="D138" s="1" t="s">
        <v>199</v>
      </c>
      <c r="E138" s="3">
        <v>46087.433494606485</v>
      </c>
      <c r="G138" s="1" t="s">
        <v>16</v>
      </c>
      <c r="H138" s="1">
        <v>23.0</v>
      </c>
      <c r="I138" s="1">
        <v>11.0</v>
      </c>
      <c r="K138" s="1" t="s">
        <v>16</v>
      </c>
      <c r="L138" s="1" t="s">
        <v>17</v>
      </c>
      <c r="M138" s="1" t="s">
        <v>18</v>
      </c>
      <c r="N138" s="1" t="s">
        <v>18</v>
      </c>
    </row>
    <row r="139" ht="16.5" customHeight="1">
      <c r="A139" s="1">
        <v>35.0</v>
      </c>
      <c r="B139" s="1">
        <v>5.0</v>
      </c>
      <c r="C139" s="1" t="s">
        <v>22</v>
      </c>
      <c r="D139" s="1" t="s">
        <v>200</v>
      </c>
      <c r="E139" s="3">
        <v>46087.433143518516</v>
      </c>
      <c r="F139" s="1">
        <v>82.7</v>
      </c>
      <c r="G139" s="1" t="s">
        <v>201</v>
      </c>
      <c r="H139" s="1">
        <v>22.0</v>
      </c>
      <c r="I139" s="1">
        <v>11.0</v>
      </c>
      <c r="J139" s="1">
        <v>55.0</v>
      </c>
      <c r="K139" s="1" t="s">
        <v>202</v>
      </c>
      <c r="L139" s="1" t="s">
        <v>17</v>
      </c>
      <c r="M139" s="1" t="s">
        <v>17</v>
      </c>
      <c r="N139" s="1" t="s">
        <v>17</v>
      </c>
    </row>
    <row r="140" ht="16.5" customHeight="1">
      <c r="A140" s="1">
        <v>37.0</v>
      </c>
      <c r="B140" s="1">
        <v>5.0</v>
      </c>
      <c r="C140" s="1" t="s">
        <v>22</v>
      </c>
      <c r="D140" s="1" t="s">
        <v>203</v>
      </c>
      <c r="E140" s="3">
        <v>46087.4345680787</v>
      </c>
      <c r="F140" s="1">
        <v>85.4</v>
      </c>
      <c r="G140" s="1" t="s">
        <v>204</v>
      </c>
      <c r="H140" s="1">
        <v>23.0</v>
      </c>
      <c r="I140" s="1">
        <v>12.0</v>
      </c>
      <c r="J140" s="1">
        <v>55.0</v>
      </c>
      <c r="K140" s="1" t="s">
        <v>202</v>
      </c>
      <c r="L140" s="1" t="s">
        <v>17</v>
      </c>
      <c r="M140" s="1" t="s">
        <v>17</v>
      </c>
      <c r="N140" s="1" t="s">
        <v>17</v>
      </c>
    </row>
    <row r="141" ht="16.5" customHeight="1">
      <c r="A141" s="1">
        <v>38.0</v>
      </c>
      <c r="B141" s="1">
        <v>5.0</v>
      </c>
      <c r="C141" s="1" t="s">
        <v>14</v>
      </c>
      <c r="D141" s="1" t="s">
        <v>205</v>
      </c>
      <c r="E141" s="3">
        <v>46087.43482144676</v>
      </c>
      <c r="G141" s="1" t="s">
        <v>16</v>
      </c>
      <c r="H141" s="1">
        <v>24.0</v>
      </c>
      <c r="I141" s="1">
        <v>12.0</v>
      </c>
      <c r="K141" s="1" t="s">
        <v>16</v>
      </c>
      <c r="L141" s="1" t="s">
        <v>17</v>
      </c>
      <c r="M141" s="1" t="s">
        <v>18</v>
      </c>
      <c r="N141" s="1" t="s">
        <v>18</v>
      </c>
    </row>
    <row r="142" ht="16.5" customHeight="1">
      <c r="A142" s="1">
        <v>40.0</v>
      </c>
      <c r="B142" s="1">
        <v>5.0</v>
      </c>
      <c r="C142" s="1" t="s">
        <v>14</v>
      </c>
      <c r="D142" s="1" t="s">
        <v>206</v>
      </c>
      <c r="E142" s="3">
        <v>46087.43597160879</v>
      </c>
      <c r="G142" s="1" t="s">
        <v>16</v>
      </c>
      <c r="H142" s="1">
        <v>25.0</v>
      </c>
      <c r="I142" s="1">
        <v>13.0</v>
      </c>
      <c r="K142" s="1" t="s">
        <v>16</v>
      </c>
      <c r="L142" s="1" t="s">
        <v>17</v>
      </c>
      <c r="M142" s="1" t="s">
        <v>18</v>
      </c>
      <c r="N142" s="1" t="s">
        <v>18</v>
      </c>
    </row>
    <row r="143" ht="16.5" customHeight="1">
      <c r="A143" s="1">
        <v>39.0</v>
      </c>
      <c r="B143" s="1">
        <v>5.0</v>
      </c>
      <c r="C143" s="1" t="s">
        <v>22</v>
      </c>
      <c r="D143" s="1" t="s">
        <v>207</v>
      </c>
      <c r="E143" s="3">
        <v>46087.43577804398</v>
      </c>
      <c r="F143" s="1">
        <v>87.7</v>
      </c>
      <c r="G143" s="1" t="s">
        <v>208</v>
      </c>
      <c r="H143" s="1">
        <v>24.0</v>
      </c>
      <c r="I143" s="1">
        <v>13.0</v>
      </c>
      <c r="J143" s="1">
        <v>55.0</v>
      </c>
      <c r="K143" s="1" t="s">
        <v>209</v>
      </c>
      <c r="L143" s="1" t="s">
        <v>17</v>
      </c>
      <c r="M143" s="1" t="s">
        <v>17</v>
      </c>
      <c r="N143" s="1" t="s">
        <v>17</v>
      </c>
    </row>
    <row r="144" ht="16.5" customHeight="1">
      <c r="A144" s="1">
        <v>42.0</v>
      </c>
      <c r="B144" s="1">
        <v>5.0</v>
      </c>
      <c r="C144" s="1" t="s">
        <v>14</v>
      </c>
      <c r="D144" s="1" t="s">
        <v>210</v>
      </c>
      <c r="E144" s="3">
        <v>46087.437205856484</v>
      </c>
      <c r="G144" s="1" t="s">
        <v>16</v>
      </c>
      <c r="H144" s="1">
        <v>26.0</v>
      </c>
      <c r="I144" s="1">
        <v>14.0</v>
      </c>
      <c r="K144" s="1" t="s">
        <v>16</v>
      </c>
      <c r="L144" s="1" t="s">
        <v>17</v>
      </c>
      <c r="M144" s="1" t="s">
        <v>18</v>
      </c>
      <c r="N144" s="1" t="s">
        <v>18</v>
      </c>
    </row>
    <row r="145" ht="16.5" customHeight="1">
      <c r="A145" s="1">
        <v>41.0</v>
      </c>
      <c r="B145" s="1">
        <v>5.0</v>
      </c>
      <c r="C145" s="1" t="s">
        <v>22</v>
      </c>
      <c r="D145" s="1" t="s">
        <v>211</v>
      </c>
      <c r="E145" s="3">
        <v>46087.436972662035</v>
      </c>
      <c r="F145" s="1">
        <v>87.2</v>
      </c>
      <c r="G145" s="1" t="s">
        <v>212</v>
      </c>
      <c r="H145" s="1">
        <v>25.0</v>
      </c>
      <c r="I145" s="1">
        <v>14.0</v>
      </c>
      <c r="J145" s="1">
        <v>55.0</v>
      </c>
      <c r="K145" s="1" t="s">
        <v>202</v>
      </c>
      <c r="L145" s="1" t="s">
        <v>17</v>
      </c>
      <c r="M145" s="1" t="s">
        <v>17</v>
      </c>
      <c r="N145" s="1" t="s">
        <v>17</v>
      </c>
    </row>
    <row r="146" ht="16.5" customHeight="1">
      <c r="A146" s="1">
        <v>44.0</v>
      </c>
      <c r="B146" s="1">
        <v>5.0</v>
      </c>
      <c r="C146" s="1" t="s">
        <v>14</v>
      </c>
      <c r="D146" s="1" t="s">
        <v>55</v>
      </c>
      <c r="E146" s="3">
        <v>46087.43818320602</v>
      </c>
      <c r="G146" s="1" t="s">
        <v>16</v>
      </c>
      <c r="H146" s="1">
        <v>27.0</v>
      </c>
      <c r="I146" s="1">
        <v>15.0</v>
      </c>
      <c r="K146" s="1" t="s">
        <v>16</v>
      </c>
      <c r="L146" s="1" t="s">
        <v>17</v>
      </c>
      <c r="M146" s="1" t="s">
        <v>18</v>
      </c>
      <c r="N146" s="1" t="s">
        <v>18</v>
      </c>
    </row>
    <row r="147" ht="16.5" customHeight="1">
      <c r="A147" s="1">
        <v>43.0</v>
      </c>
      <c r="B147" s="1">
        <v>5.0</v>
      </c>
      <c r="C147" s="1" t="s">
        <v>22</v>
      </c>
      <c r="D147" s="1" t="s">
        <v>213</v>
      </c>
      <c r="E147" s="3">
        <v>46087.43818261574</v>
      </c>
      <c r="F147" s="1">
        <v>87.0</v>
      </c>
      <c r="G147" s="1" t="s">
        <v>214</v>
      </c>
      <c r="H147" s="1">
        <v>26.0</v>
      </c>
      <c r="I147" s="1">
        <v>15.0</v>
      </c>
      <c r="J147" s="1">
        <v>45.0</v>
      </c>
      <c r="K147" s="1" t="s">
        <v>215</v>
      </c>
      <c r="L147" s="1" t="s">
        <v>17</v>
      </c>
      <c r="M147" s="1" t="s">
        <v>17</v>
      </c>
      <c r="N147" s="1" t="s">
        <v>17</v>
      </c>
    </row>
    <row r="148" ht="16.5" customHeight="1">
      <c r="A148" s="1">
        <v>45.0</v>
      </c>
      <c r="B148" s="1">
        <v>5.0</v>
      </c>
      <c r="C148" s="1" t="s">
        <v>22</v>
      </c>
      <c r="D148" s="1" t="s">
        <v>216</v>
      </c>
      <c r="E148" s="3">
        <v>46087.43942983796</v>
      </c>
      <c r="F148" s="1">
        <v>78.9</v>
      </c>
      <c r="G148" s="1" t="s">
        <v>217</v>
      </c>
      <c r="H148" s="1">
        <v>27.0</v>
      </c>
      <c r="I148" s="1">
        <v>16.0</v>
      </c>
      <c r="J148" s="1">
        <v>59.0</v>
      </c>
      <c r="K148" s="1" t="s">
        <v>218</v>
      </c>
      <c r="L148" s="1" t="s">
        <v>17</v>
      </c>
      <c r="M148" s="1" t="s">
        <v>17</v>
      </c>
      <c r="N148" s="1" t="s">
        <v>17</v>
      </c>
    </row>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N$148"/>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20.43"/>
    <col customWidth="1" min="3" max="3" width="9.86"/>
    <col customWidth="1" min="4" max="26" width="8.71"/>
  </cols>
  <sheetData>
    <row r="1" ht="16.5" customHeight="1"/>
    <row r="2" ht="16.5" customHeight="1"/>
    <row r="3" ht="16.5" customHeight="1"/>
    <row r="4" ht="16.5" customHeight="1"/>
    <row r="5" ht="16.5" customHeight="1"/>
    <row r="6" ht="16.5" customHeight="1">
      <c r="C6" s="6">
        <f>(146/147)*100</f>
        <v>99.31972789</v>
      </c>
    </row>
    <row r="7" ht="16.5" customHeight="1">
      <c r="A7" s="5"/>
      <c r="C7" s="7"/>
    </row>
    <row r="8" ht="16.5" customHeight="1">
      <c r="C8" s="7"/>
    </row>
    <row r="9" ht="16.5" customHeight="1">
      <c r="C9" s="7"/>
    </row>
    <row r="10" ht="16.5" customHeight="1">
      <c r="C10" s="7"/>
    </row>
    <row r="11" ht="16.5" customHeight="1">
      <c r="C11" s="7"/>
    </row>
    <row r="12" ht="16.5" customHeight="1">
      <c r="C12" s="7"/>
    </row>
    <row r="13" ht="16.5" customHeight="1">
      <c r="C13" s="6">
        <f>(43/50)*100</f>
        <v>86</v>
      </c>
    </row>
    <row r="14" ht="16.5" customHeight="1">
      <c r="A14" s="5"/>
      <c r="C14" s="7"/>
    </row>
    <row r="15" ht="16.5" customHeight="1">
      <c r="C15" s="7"/>
    </row>
    <row r="16" ht="16.5" customHeight="1">
      <c r="C16" s="7"/>
    </row>
    <row r="17" ht="16.5" customHeight="1">
      <c r="C17" s="7"/>
    </row>
    <row r="18" ht="16.5" customHeight="1">
      <c r="C18" s="7"/>
    </row>
    <row r="19" ht="16.5" customHeight="1">
      <c r="C19" s="7"/>
    </row>
    <row r="20" ht="16.5" customHeight="1">
      <c r="C20" s="6">
        <f>(43/50)*100</f>
        <v>86</v>
      </c>
    </row>
    <row r="21" ht="16.5" customHeight="1">
      <c r="A21" s="5"/>
      <c r="C21" s="7"/>
    </row>
    <row r="22" ht="16.5" customHeight="1">
      <c r="B22" s="1" t="s">
        <v>109</v>
      </c>
      <c r="C22" s="1">
        <v>90.44</v>
      </c>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2026-03-04T12:01:16Z</dcterms:created>
  <dc:creator>TJ</dc:creator>
</cp:coreProperties>
</file>